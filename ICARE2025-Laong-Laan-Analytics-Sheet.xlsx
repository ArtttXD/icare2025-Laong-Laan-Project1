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Key Analysis" sheetId="1" r:id="rId4"/>
    <sheet state="visible" name="2025 Voters Per Generation" sheetId="2" r:id="rId5"/>
    <sheet state="visible" name="COMELEC Voters Turnout" sheetId="3" r:id="rId6"/>
    <sheet state="visible" name="Population Projection 2020-2025" sheetId="4" r:id="rId7"/>
    <sheet state="visible" name="Population Age and Sex in 2020" sheetId="5" r:id="rId8"/>
    <sheet state="visible" name="Total and Household Population " sheetId="6" r:id="rId9"/>
  </sheets>
  <definedNames/>
  <calcPr/>
</workbook>
</file>

<file path=xl/sharedStrings.xml><?xml version="1.0" encoding="utf-8"?>
<sst xmlns="http://schemas.openxmlformats.org/spreadsheetml/2006/main" count="626" uniqueCount="250">
  <si>
    <t>Past Elections</t>
  </si>
  <si>
    <t>Future Elections</t>
  </si>
  <si>
    <t>No. of Registered Voters</t>
  </si>
  <si>
    <t>Projected Eigible Voters</t>
  </si>
  <si>
    <t>average population of reg. voters</t>
  </si>
  <si>
    <t>No. of Voters Who Actually Voted</t>
  </si>
  <si>
    <t>Projected Voters Who Voted</t>
  </si>
  <si>
    <t>average population of those that voted</t>
  </si>
  <si>
    <t>Voter Turnout</t>
  </si>
  <si>
    <t>Projected Voter Turnout</t>
  </si>
  <si>
    <t>approx. number of votes wasted in the last 5 elections</t>
  </si>
  <si>
    <t>Projected Population for 2028</t>
  </si>
  <si>
    <t>2028 Population Under 20:</t>
  </si>
  <si>
    <t>Approximate Potential No. of Eligible Voters</t>
  </si>
  <si>
    <t>Average Voter Turnout</t>
  </si>
  <si>
    <t>Sources:</t>
  </si>
  <si>
    <t xml:space="preserve">   </t>
  </si>
  <si>
    <t>2013-2022 Election Stats:</t>
  </si>
  <si>
    <t>PSA Statistical Yearbook: https://psa.gov.ph/philippine-statistical-yearbook</t>
  </si>
  <si>
    <t>2025 Election Stats:</t>
  </si>
  <si>
    <t>Inquirer.Net: https://www.inquirer.net/419715/comelec-registered-voters-for-2025-elections-now-over-68-6-million/</t>
  </si>
  <si>
    <t>Rappler: https://www.rappler.com/philippines/elections/voter-turnout-comelec-report-may-2025/</t>
  </si>
  <si>
    <t xml:space="preserve">Generation </t>
  </si>
  <si>
    <t>Percentage</t>
  </si>
  <si>
    <t>Number of Voters in 2025</t>
  </si>
  <si>
    <t>ALL GENERATIONS</t>
  </si>
  <si>
    <t>Millenials</t>
  </si>
  <si>
    <t>Generation Z</t>
  </si>
  <si>
    <t>Generation X</t>
  </si>
  <si>
    <t>Baby Boom and Silent</t>
  </si>
  <si>
    <t>Source: GMA News</t>
  </si>
  <si>
    <t>https://www.gmanetwork.com/news/topstories/nation/935726/millennials-gen-z-make-up-63-of-eleksyon-2025-voters/story/</t>
  </si>
  <si>
    <t>(National And Local Elections)</t>
  </si>
  <si>
    <t>Region</t>
  </si>
  <si>
    <t>Number Of Clustered Precincts</t>
  </si>
  <si>
    <t>Number Of Registered Voters</t>
  </si>
  <si>
    <t>Number Of Voters Who Actually Voted</t>
  </si>
  <si>
    <t>Voters' Turn-Out (%)</t>
  </si>
  <si>
    <t>Philippines</t>
  </si>
  <si>
    <t>Ncr</t>
  </si>
  <si>
    <t>Car</t>
  </si>
  <si>
    <t>I-Ilocos Region</t>
  </si>
  <si>
    <t>Ii-Cagayan Valley</t>
  </si>
  <si>
    <t>Iii-Central Luzon</t>
  </si>
  <si>
    <t>Iv-A-Calabarzon</t>
  </si>
  <si>
    <t>Mimaropa Region</t>
  </si>
  <si>
    <t>V-Bicol Region</t>
  </si>
  <si>
    <t>Vi-Western Visayas</t>
  </si>
  <si>
    <t>Vii-Central Visayas</t>
  </si>
  <si>
    <t>Viii-Eastern Visayas</t>
  </si>
  <si>
    <t>Ix-Zamboanga Peninsula</t>
  </si>
  <si>
    <t>X-Northern Mindanao</t>
  </si>
  <si>
    <t>Xi-Davao Region</t>
  </si>
  <si>
    <t>Xii-Soccsksargen</t>
  </si>
  <si>
    <t>Xiii-Caraga</t>
  </si>
  <si>
    <t>Barmm</t>
  </si>
  <si>
    <t>Source: Commission On Elections</t>
  </si>
  <si>
    <t>Both Sexes</t>
  </si>
  <si>
    <t>All Ages</t>
  </si>
  <si>
    <t>0-4</t>
  </si>
  <si>
    <t>15-19</t>
  </si>
  <si>
    <t>20-24</t>
  </si>
  <si>
    <t>25-29</t>
  </si>
  <si>
    <t>30-34</t>
  </si>
  <si>
    <t>35-39</t>
  </si>
  <si>
    <t>40-44</t>
  </si>
  <si>
    <t>45-49</t>
  </si>
  <si>
    <t>50-54</t>
  </si>
  <si>
    <t>55-59</t>
  </si>
  <si>
    <t>60-64</t>
  </si>
  <si>
    <t>65-69</t>
  </si>
  <si>
    <t>70-74</t>
  </si>
  <si>
    <t>75-79</t>
  </si>
  <si>
    <t>80-84</t>
  </si>
  <si>
    <t>85+</t>
  </si>
  <si>
    <t>Male</t>
  </si>
  <si>
    <t>Female</t>
  </si>
  <si>
    <t>Latest Update:</t>
  </si>
  <si>
    <t>20240603 09:00</t>
  </si>
  <si>
    <t>Source:</t>
  </si>
  <si>
    <t>Philippine Statistics Authority (Psa)</t>
  </si>
  <si>
    <t>Contact:</t>
  </si>
  <si>
    <t>Demographic And Health Statistics Division (Dhsd)</t>
  </si>
  <si>
    <t>Phiilippine Statistics Authority (Psa)</t>
  </si>
  <si>
    <t>20Th Floor Psa Headquarters East Ave. Quezon City</t>
  </si>
  <si>
    <t>Tel:8461-0500 Loc 820</t>
  </si>
  <si>
    <t>Vsd.Staff@Psa.Gov.Ph</t>
  </si>
  <si>
    <t>Units:</t>
  </si>
  <si>
    <t>In Thousands</t>
  </si>
  <si>
    <t>Internal Reference Code:</t>
  </si>
  <si>
    <t>1A3Bpop1</t>
  </si>
  <si>
    <t>Below 5</t>
  </si>
  <si>
    <t>80 Years Old And Over</t>
  </si>
  <si>
    <t>Total Population</t>
  </si>
  <si>
    <t>Philippines /A</t>
  </si>
  <si>
    <t>..National Capital Region (Ncr)</t>
  </si>
  <si>
    <t>....City Of Manila</t>
  </si>
  <si>
    <t>....City Of Mandaluyong</t>
  </si>
  <si>
    <t>....City Of Marikina</t>
  </si>
  <si>
    <t>....City Of Pasig</t>
  </si>
  <si>
    <t>....Quezon City</t>
  </si>
  <si>
    <t>....City Of San Juan</t>
  </si>
  <si>
    <t>....City Of Caloocan</t>
  </si>
  <si>
    <t>....City Of Malabon</t>
  </si>
  <si>
    <t>....City Of Navotas</t>
  </si>
  <si>
    <t>....City Of Valenzuela</t>
  </si>
  <si>
    <t>....City Of Las Piã±As</t>
  </si>
  <si>
    <t>....City Of Makati</t>
  </si>
  <si>
    <t>....City Of Muntinlupa</t>
  </si>
  <si>
    <t>....City Of Paraã±Aque</t>
  </si>
  <si>
    <t>....Pasay City</t>
  </si>
  <si>
    <t>....City Of Taguig</t>
  </si>
  <si>
    <t>....Pateros</t>
  </si>
  <si>
    <t>..Cordillera Administrative Region (Car)</t>
  </si>
  <si>
    <t>....Abra</t>
  </si>
  <si>
    <t>....Apayao</t>
  </si>
  <si>
    <t>....Benguet *</t>
  </si>
  <si>
    <t>....Ifugao</t>
  </si>
  <si>
    <t>....Kalinga</t>
  </si>
  <si>
    <t>....Mountain Province</t>
  </si>
  <si>
    <t>....City Of Baguio</t>
  </si>
  <si>
    <t>..Region I (Ilocos Region)</t>
  </si>
  <si>
    <t>....Ilocos Norte</t>
  </si>
  <si>
    <t>....Ilocos Sur</t>
  </si>
  <si>
    <t>....La Union</t>
  </si>
  <si>
    <t>....Pangasi</t>
  </si>
  <si>
    <t>..Region Ii (Cagayan Valley)</t>
  </si>
  <si>
    <t>....Batanes</t>
  </si>
  <si>
    <t>....Cagayan</t>
  </si>
  <si>
    <t>....Isabela</t>
  </si>
  <si>
    <t>....Nueva Vizcaya</t>
  </si>
  <si>
    <t>....Quirino</t>
  </si>
  <si>
    <t>..Region Iii (Central Luzon)</t>
  </si>
  <si>
    <t>....Aurora</t>
  </si>
  <si>
    <t>....Bataan</t>
  </si>
  <si>
    <t>....Bulacan</t>
  </si>
  <si>
    <t>....Nueva Ecija</t>
  </si>
  <si>
    <t>....Pampanga *</t>
  </si>
  <si>
    <t>....Tarlac</t>
  </si>
  <si>
    <t>....Zambales *</t>
  </si>
  <si>
    <t>....City Of Angeles</t>
  </si>
  <si>
    <t>....City Of Olongapo</t>
  </si>
  <si>
    <t>..Region Iv-A (Calabarzon)</t>
  </si>
  <si>
    <t>....Batangas</t>
  </si>
  <si>
    <t>....Cavite</t>
  </si>
  <si>
    <t>....Laguna</t>
  </si>
  <si>
    <t>....Quezon *</t>
  </si>
  <si>
    <t>....Rizal</t>
  </si>
  <si>
    <t>....City Of Lucena</t>
  </si>
  <si>
    <t>..Mimaropa Region</t>
  </si>
  <si>
    <t>....Marinduque</t>
  </si>
  <si>
    <t>....Occidental Mindoro</t>
  </si>
  <si>
    <t>....Oriental Mindoro</t>
  </si>
  <si>
    <t>....Palawan *</t>
  </si>
  <si>
    <t>....Romblon</t>
  </si>
  <si>
    <t>....City Of Puerto Princesa</t>
  </si>
  <si>
    <t>..Region V (Bicol Region)</t>
  </si>
  <si>
    <t>....Albay</t>
  </si>
  <si>
    <t>....Camarines Norte</t>
  </si>
  <si>
    <t>....Camarines Sur</t>
  </si>
  <si>
    <t>....Catanduanes</t>
  </si>
  <si>
    <t>....Masbate</t>
  </si>
  <si>
    <t>....Sorsogon</t>
  </si>
  <si>
    <t>..Region Vi (Western Visayas)</t>
  </si>
  <si>
    <t>....Aklan</t>
  </si>
  <si>
    <t>....Antique</t>
  </si>
  <si>
    <t>....Capiz</t>
  </si>
  <si>
    <t>....Guimaras</t>
  </si>
  <si>
    <t>....Iloilo *</t>
  </si>
  <si>
    <t>....Negros Occidental *</t>
  </si>
  <si>
    <t>....City Of Bacolod</t>
  </si>
  <si>
    <t>....City Of Iloilo</t>
  </si>
  <si>
    <t>..Region Vii (Central Visayas)</t>
  </si>
  <si>
    <t>....Bohol</t>
  </si>
  <si>
    <t>....Cebu *</t>
  </si>
  <si>
    <t>....Negros Oriental</t>
  </si>
  <si>
    <t>....Siquijor</t>
  </si>
  <si>
    <t>....City Of Cebu</t>
  </si>
  <si>
    <t>....City Of Lapu-Lapu (Opon)</t>
  </si>
  <si>
    <t>....City Of Mandaue</t>
  </si>
  <si>
    <t>..Region Viii (Eastern Visayas)</t>
  </si>
  <si>
    <t>....Biliran</t>
  </si>
  <si>
    <t>....Eastern Samar</t>
  </si>
  <si>
    <t>....Leyte *</t>
  </si>
  <si>
    <t>....Northern Samar</t>
  </si>
  <si>
    <t>....Samar (Western Samar)</t>
  </si>
  <si>
    <t>....Southern Leyte</t>
  </si>
  <si>
    <t>....City Of Tacloban</t>
  </si>
  <si>
    <t>..Region Ix (Zamboanga Peninsula)</t>
  </si>
  <si>
    <t>....Zamboanga Del Norte</t>
  </si>
  <si>
    <t>....Zamboanga Del Sur *</t>
  </si>
  <si>
    <t>....Zamboanga Sibugay</t>
  </si>
  <si>
    <t>....City Of Isabela **</t>
  </si>
  <si>
    <t>....City Of Zamboanga</t>
  </si>
  <si>
    <t>..Region X (Northern Mindanao)</t>
  </si>
  <si>
    <t>....Bukidnon</t>
  </si>
  <si>
    <t>....Camiguin</t>
  </si>
  <si>
    <t>....Lanao Del Norte *</t>
  </si>
  <si>
    <t>....Misamis Occidental</t>
  </si>
  <si>
    <t>....Misamis Oriental *</t>
  </si>
  <si>
    <t>....City Of Cagayan De Oro</t>
  </si>
  <si>
    <t>....City Of Iligan</t>
  </si>
  <si>
    <t>..Region Xi (Davao Region)</t>
  </si>
  <si>
    <t>....Davao De Oro (Compostela Valley)</t>
  </si>
  <si>
    <t>....Davao Del Norte</t>
  </si>
  <si>
    <t>....Davao Del Sur *</t>
  </si>
  <si>
    <t>....Davao Occidental</t>
  </si>
  <si>
    <t>....Davao Oriental</t>
  </si>
  <si>
    <t>....City Of Davao</t>
  </si>
  <si>
    <t>..Region Xii (Soccsksargen)</t>
  </si>
  <si>
    <t>....Cotabato (North Cotabato)</t>
  </si>
  <si>
    <t>....Sarangani</t>
  </si>
  <si>
    <t>....South Cotabato *</t>
  </si>
  <si>
    <t>....Sultan Kudarat</t>
  </si>
  <si>
    <t>....City Of General Santos (Dadiangas)</t>
  </si>
  <si>
    <t>..Region Xiii (Caraga)</t>
  </si>
  <si>
    <t>....Agusan Del Norte *</t>
  </si>
  <si>
    <t>....Agusan Del Sur</t>
  </si>
  <si>
    <t>....Dinagat Islands</t>
  </si>
  <si>
    <t>....Surigao Del Norte</t>
  </si>
  <si>
    <t>....Surigao Del Sur</t>
  </si>
  <si>
    <t>....City Of Butuan</t>
  </si>
  <si>
    <t>..Bangsamoro Autonomous Region In Muslim Mindanao (Barmm)</t>
  </si>
  <si>
    <t>....Basilan</t>
  </si>
  <si>
    <t>....Lanao Del Sur</t>
  </si>
  <si>
    <t>....Maguindanao</t>
  </si>
  <si>
    <t>....Sulu</t>
  </si>
  <si>
    <t>....Tawi-Tawi</t>
  </si>
  <si>
    <t>....Eight (8) Area Clusters ***</t>
  </si>
  <si>
    <t>Household Population</t>
  </si>
  <si>
    <t>* Population Counts For The Provinces Exclude The Counts Of Highly Urbanized Cities.
** Geographically Located In The Province Of Basilan
*** Per Psa Board Resolution No. 13 Series Of 2021 - Approving And Adopting The Third Quarter 2021 Philippine Standard Geographic Code Updates To Include The Bangsamoro Autonomous Region In Muslim Mindanao (Barmm) And Correct The Names Of 37 Barangays.
A Excludes 2098 Filipinos In Philippine Embassies Consulates And Mission Abroad</t>
  </si>
  <si>
    <t>20240415 09:00</t>
  </si>
  <si>
    <t>Philippine Statistics Authority 2020 Census Of Population And Housing</t>
  </si>
  <si>
    <t>Population And Housing Census Division</t>
  </si>
  <si>
    <t>National Censuses Service</t>
  </si>
  <si>
    <t>19Th Floor Psa Headquarters Psa Complex East Ave. Diliman Quezon City Philippines 1101</t>
  </si>
  <si>
    <t>Email Address: Phcd.Staff@Psa.Gov.Ph</t>
  </si>
  <si>
    <t>Persons</t>
  </si>
  <si>
    <t>Official Statistics</t>
  </si>
  <si>
    <t>1A6Dpag0</t>
  </si>
  <si>
    <t>ï»¿"total_population</t>
  </si>
  <si>
    <t>household_population</t>
  </si>
  <si>
    <t>and_number_of_households_by_region_and_province_highly_urbanized_city:_philippines</t>
  </si>
  <si>
    <t>2020"</t>
  </si>
  <si>
    <t>unnamed:_4</t>
  </si>
  <si>
    <t>unnamed:_5</t>
  </si>
  <si>
    <t>unnamed:_6</t>
  </si>
  <si>
    <t>Number Of Households</t>
  </si>
  <si>
    <t>Persons And Households</t>
  </si>
  <si>
    <t>1A6Dphh0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</si>
</sst>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-d"/>
  </numFmts>
  <fonts count="6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  <font>
      <u/>
      <color rgb="FF0000FF"/>
    </font>
    <font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D9EAD3"/>
        <bgColor rgb="FFD9EAD3"/>
      </patternFill>
    </fill>
    <fill>
      <patternFill patternType="solid">
        <fgColor rgb="FFFCE5CD"/>
        <bgColor rgb="FFFCE5CD"/>
      </patternFill>
    </fill>
  </fills>
  <borders count="1">
    <border/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2" numFmtId="0" xfId="0" applyAlignment="1" applyFont="1">
      <alignment readingOrder="0"/>
    </xf>
    <xf borderId="0" fillId="0" fontId="2" numFmtId="3" xfId="0" applyFont="1" applyNumberFormat="1"/>
    <xf borderId="0" fillId="0" fontId="2" numFmtId="3" xfId="0" applyAlignment="1" applyFont="1" applyNumberFormat="1">
      <alignment readingOrder="0"/>
    </xf>
    <xf borderId="0" fillId="0" fontId="1" numFmtId="2" xfId="0" applyFont="1" applyNumberFormat="1"/>
    <xf borderId="0" fillId="2" fontId="2" numFmtId="0" xfId="0" applyAlignment="1" applyFill="1" applyFont="1">
      <alignment readingOrder="0"/>
    </xf>
    <xf borderId="0" fillId="3" fontId="2" numFmtId="3" xfId="0" applyFill="1" applyFont="1" applyNumberFormat="1"/>
    <xf borderId="0" fillId="0" fontId="2" numFmtId="2" xfId="0" applyFont="1" applyNumberFormat="1"/>
    <xf borderId="0" fillId="0" fontId="3" numFmtId="0" xfId="0" applyAlignment="1" applyFont="1">
      <alignment readingOrder="0"/>
    </xf>
    <xf borderId="0" fillId="0" fontId="2" numFmtId="4" xfId="0" applyAlignment="1" applyFont="1" applyNumberFormat="1">
      <alignment readingOrder="0"/>
    </xf>
    <xf borderId="0" fillId="0" fontId="2" numFmtId="9" xfId="0" applyAlignment="1" applyFont="1" applyNumberFormat="1">
      <alignment readingOrder="0"/>
    </xf>
    <xf borderId="0" fillId="0" fontId="2" numFmtId="10" xfId="0" applyAlignment="1" applyFont="1" applyNumberFormat="1">
      <alignment readingOrder="0"/>
    </xf>
    <xf borderId="0" fillId="0" fontId="2" numFmtId="4" xfId="0" applyFont="1" applyNumberFormat="1"/>
    <xf borderId="0" fillId="0" fontId="4" numFmtId="0" xfId="0" applyAlignment="1" applyFont="1">
      <alignment readingOrder="0"/>
    </xf>
    <xf borderId="0" fillId="2" fontId="2" numFmtId="0" xfId="0" applyFont="1"/>
    <xf borderId="0" fillId="4" fontId="2" numFmtId="0" xfId="0" applyAlignment="1" applyFill="1" applyFont="1">
      <alignment readingOrder="0"/>
    </xf>
    <xf borderId="0" fillId="0" fontId="2" numFmtId="164" xfId="0" applyAlignment="1" applyFont="1" applyNumberFormat="1">
      <alignment readingOrder="0"/>
    </xf>
    <xf borderId="0" fillId="0" fontId="5" numFmtId="3" xfId="0" applyAlignment="1" applyFont="1" applyNumberForma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psa.gov.ph/philippine-statistical-yearbook" TargetMode="External"/><Relationship Id="rId2" Type="http://schemas.openxmlformats.org/officeDocument/2006/relationships/hyperlink" Target="https://www.inquirer.net/419715/comelec-registered-voters-for-2025-elections-now-over-68-6-million/" TargetMode="External"/><Relationship Id="rId3" Type="http://schemas.openxmlformats.org/officeDocument/2006/relationships/hyperlink" Target="https://www.rappler.com/philippines/elections/voter-turnout-comelec-report-may-2025/" TargetMode="External"/><Relationship Id="rId4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www.gmanetwork.com/news/topstories/nation/935726/millennials-gen-z-make-up-63-of-eleksyon-2025-voters/story/" TargetMode="Externa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6.75"/>
    <col customWidth="1" min="7" max="7" width="21.75"/>
    <col customWidth="1" min="8" max="8" width="14.0"/>
    <col customWidth="1" min="9" max="9" width="38.5"/>
  </cols>
  <sheetData>
    <row r="1">
      <c r="B1" s="1" t="s">
        <v>0</v>
      </c>
      <c r="C1" s="2"/>
      <c r="D1" s="2"/>
      <c r="E1" s="2"/>
      <c r="F1" s="2"/>
      <c r="G1" s="2"/>
      <c r="H1" s="1" t="s">
        <v>1</v>
      </c>
    </row>
    <row r="2">
      <c r="B2" s="1">
        <v>2013.0</v>
      </c>
      <c r="C2" s="1">
        <v>2016.0</v>
      </c>
      <c r="D2" s="1">
        <v>2019.0</v>
      </c>
      <c r="E2" s="1">
        <v>2022.0</v>
      </c>
      <c r="F2" s="1">
        <v>2025.0</v>
      </c>
      <c r="G2" s="3"/>
      <c r="H2" s="1">
        <v>2028.0</v>
      </c>
      <c r="I2" s="1"/>
    </row>
    <row r="3">
      <c r="A3" s="3" t="s">
        <v>2</v>
      </c>
      <c r="B3" s="4">
        <f t="array" ref="B3:E3">'COMELEC Voters Turnout'!F4:I4</f>
        <v>52014648</v>
      </c>
      <c r="C3" s="4">
        <v>5.4363844E7</v>
      </c>
      <c r="D3" s="4">
        <v>6.1843771E7</v>
      </c>
      <c r="E3" s="4">
        <v>6.5831806E7</v>
      </c>
      <c r="F3" s="5">
        <v>6.8618667E7</v>
      </c>
      <c r="G3" s="3" t="s">
        <v>3</v>
      </c>
      <c r="H3" s="4">
        <v>7.6443E7</v>
      </c>
      <c r="I3" s="3" t="s">
        <v>4</v>
      </c>
      <c r="J3" s="4">
        <f t="shared" ref="J3:J4" si="1">AVERAGE(B3:F3)</f>
        <v>60534547.2</v>
      </c>
    </row>
    <row r="4">
      <c r="A4" s="3" t="s">
        <v>5</v>
      </c>
      <c r="B4" s="5">
        <f t="array" ref="B4:E4">'COMELEC Voters Turnout'!J4:M4</f>
        <v>40214324</v>
      </c>
      <c r="C4" s="5">
        <v>4.4549848E7</v>
      </c>
      <c r="D4" s="4">
        <v>4.6937139E7</v>
      </c>
      <c r="E4" s="4">
        <v>5.5357093E7</v>
      </c>
      <c r="F4" s="5">
        <v>5.735E7</v>
      </c>
      <c r="G4" s="5" t="s">
        <v>6</v>
      </c>
      <c r="H4" s="4">
        <f>$B$11/100*H3</f>
        <v>61375474.74</v>
      </c>
      <c r="I4" s="3" t="s">
        <v>7</v>
      </c>
      <c r="J4" s="4">
        <f t="shared" si="1"/>
        <v>48881680.8</v>
      </c>
    </row>
    <row r="5">
      <c r="A5" s="1" t="s">
        <v>8</v>
      </c>
      <c r="B5" s="6">
        <f t="shared" ref="B5:E5" si="2">(B4/B3)*100</f>
        <v>77.31345985</v>
      </c>
      <c r="C5" s="6">
        <f t="shared" si="2"/>
        <v>81.94756795</v>
      </c>
      <c r="D5" s="6">
        <f t="shared" si="2"/>
        <v>75.89630813</v>
      </c>
      <c r="E5" s="6">
        <f t="shared" si="2"/>
        <v>84.0886744</v>
      </c>
      <c r="F5" s="1">
        <v>82.2</v>
      </c>
      <c r="G5" s="1" t="s">
        <v>9</v>
      </c>
      <c r="H5" s="6">
        <f>B11</f>
        <v>80.28920207</v>
      </c>
      <c r="I5" s="3" t="s">
        <v>10</v>
      </c>
      <c r="J5" s="4">
        <f>J3-J4</f>
        <v>11652866.4</v>
      </c>
    </row>
    <row r="7">
      <c r="A7" s="3" t="s">
        <v>11</v>
      </c>
      <c r="B7" s="5">
        <v>1.1685E8</v>
      </c>
      <c r="H7" s="7"/>
    </row>
    <row r="8">
      <c r="A8" s="3" t="s">
        <v>12</v>
      </c>
      <c r="B8" s="5">
        <v>4.0407E7</v>
      </c>
    </row>
    <row r="9">
      <c r="A9" s="3" t="s">
        <v>13</v>
      </c>
      <c r="B9" s="8">
        <f>B7-B8</f>
        <v>76443000</v>
      </c>
    </row>
    <row r="11">
      <c r="A11" s="3" t="s">
        <v>14</v>
      </c>
      <c r="B11" s="9">
        <f>AVERAGE(B5:F5)</f>
        <v>80.28920207</v>
      </c>
    </row>
    <row r="13">
      <c r="A13" s="3" t="s">
        <v>15</v>
      </c>
      <c r="I13" s="3" t="s">
        <v>16</v>
      </c>
    </row>
    <row r="14">
      <c r="A14" s="3" t="s">
        <v>17</v>
      </c>
      <c r="B14" s="10" t="s">
        <v>18</v>
      </c>
    </row>
    <row r="15">
      <c r="A15" s="3" t="s">
        <v>19</v>
      </c>
      <c r="B15" s="10" t="s">
        <v>20</v>
      </c>
    </row>
    <row r="16">
      <c r="B16" s="10" t="s">
        <v>21</v>
      </c>
    </row>
  </sheetData>
  <hyperlinks>
    <hyperlink r:id="rId1" ref="B14"/>
    <hyperlink r:id="rId2" ref="B15"/>
    <hyperlink r:id="rId3" ref="B16"/>
  </hyperlinks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5"/>
    <col customWidth="1" min="3" max="3" width="19.88"/>
  </cols>
  <sheetData>
    <row r="1">
      <c r="A1" s="3" t="s">
        <v>22</v>
      </c>
      <c r="B1" s="3" t="s">
        <v>23</v>
      </c>
      <c r="C1" s="11" t="s">
        <v>24</v>
      </c>
    </row>
    <row r="2">
      <c r="A2" s="3" t="s">
        <v>25</v>
      </c>
      <c r="B2" s="12">
        <v>1.0</v>
      </c>
      <c r="C2" s="11">
        <v>6.9673655E7</v>
      </c>
    </row>
    <row r="3">
      <c r="A3" s="3" t="s">
        <v>26</v>
      </c>
      <c r="B3" s="13">
        <v>0.3415</v>
      </c>
      <c r="C3" s="4">
        <f t="shared" ref="C3:C6" si="1">$C$2*B3</f>
        <v>23793553.18</v>
      </c>
    </row>
    <row r="4">
      <c r="A4" s="3" t="s">
        <v>27</v>
      </c>
      <c r="B4" s="13">
        <v>0.288</v>
      </c>
      <c r="C4" s="4">
        <f t="shared" si="1"/>
        <v>20066012.64</v>
      </c>
    </row>
    <row r="5">
      <c r="A5" s="3" t="s">
        <v>28</v>
      </c>
      <c r="B5" s="13">
        <v>0.2322</v>
      </c>
      <c r="C5" s="4">
        <f t="shared" si="1"/>
        <v>16178222.69</v>
      </c>
    </row>
    <row r="6">
      <c r="A6" s="3" t="s">
        <v>29</v>
      </c>
      <c r="B6" s="13">
        <v>0.1383</v>
      </c>
      <c r="C6" s="4">
        <f t="shared" si="1"/>
        <v>9635866.487</v>
      </c>
    </row>
    <row r="7">
      <c r="C7" s="14"/>
    </row>
    <row r="8">
      <c r="A8" s="3" t="s">
        <v>30</v>
      </c>
      <c r="C8" s="14"/>
    </row>
    <row r="9">
      <c r="A9" s="15" t="s">
        <v>31</v>
      </c>
      <c r="C9" s="14"/>
    </row>
    <row r="10">
      <c r="C10" s="14"/>
    </row>
    <row r="11">
      <c r="C11" s="14"/>
    </row>
    <row r="12">
      <c r="C12" s="14"/>
    </row>
    <row r="13">
      <c r="C13" s="14"/>
    </row>
    <row r="14">
      <c r="C14" s="14"/>
    </row>
    <row r="15">
      <c r="C15" s="14"/>
    </row>
    <row r="16">
      <c r="C16" s="14"/>
    </row>
    <row r="17">
      <c r="C17" s="14"/>
    </row>
    <row r="18">
      <c r="C18" s="14"/>
    </row>
    <row r="19">
      <c r="C19" s="14"/>
    </row>
    <row r="20">
      <c r="C20" s="14"/>
    </row>
    <row r="21">
      <c r="C21" s="14"/>
    </row>
    <row r="22">
      <c r="C22" s="14"/>
    </row>
    <row r="23">
      <c r="C23" s="14"/>
    </row>
    <row r="24">
      <c r="C24" s="14"/>
    </row>
    <row r="25">
      <c r="C25" s="14"/>
    </row>
    <row r="26">
      <c r="C26" s="14"/>
    </row>
    <row r="27">
      <c r="C27" s="14"/>
    </row>
    <row r="28">
      <c r="C28" s="14"/>
    </row>
    <row r="29">
      <c r="C29" s="14"/>
    </row>
    <row r="30">
      <c r="C30" s="14"/>
    </row>
    <row r="31">
      <c r="C31" s="14"/>
    </row>
    <row r="32">
      <c r="C32" s="14"/>
    </row>
    <row r="33">
      <c r="C33" s="14"/>
    </row>
    <row r="34">
      <c r="C34" s="14"/>
    </row>
    <row r="35">
      <c r="C35" s="14"/>
    </row>
    <row r="36">
      <c r="C36" s="14"/>
    </row>
    <row r="37">
      <c r="C37" s="14"/>
    </row>
    <row r="38">
      <c r="C38" s="14"/>
    </row>
    <row r="39">
      <c r="C39" s="14"/>
    </row>
    <row r="40">
      <c r="C40" s="14"/>
    </row>
    <row r="41">
      <c r="C41" s="14"/>
    </row>
    <row r="42">
      <c r="C42" s="14"/>
    </row>
    <row r="43">
      <c r="C43" s="14"/>
    </row>
    <row r="44">
      <c r="C44" s="14"/>
    </row>
    <row r="45">
      <c r="C45" s="14"/>
    </row>
    <row r="46">
      <c r="C46" s="14"/>
    </row>
    <row r="47">
      <c r="C47" s="14"/>
    </row>
    <row r="48">
      <c r="C48" s="14"/>
    </row>
    <row r="49">
      <c r="C49" s="14"/>
    </row>
    <row r="50">
      <c r="C50" s="14"/>
    </row>
    <row r="51">
      <c r="C51" s="14"/>
    </row>
    <row r="52">
      <c r="C52" s="14"/>
    </row>
    <row r="53">
      <c r="C53" s="14"/>
    </row>
    <row r="54">
      <c r="C54" s="14"/>
    </row>
    <row r="55">
      <c r="C55" s="14"/>
    </row>
    <row r="56">
      <c r="C56" s="14"/>
    </row>
    <row r="57">
      <c r="C57" s="14"/>
    </row>
    <row r="58">
      <c r="C58" s="14"/>
    </row>
    <row r="59">
      <c r="C59" s="14"/>
    </row>
    <row r="60">
      <c r="C60" s="14"/>
    </row>
    <row r="61">
      <c r="C61" s="14"/>
    </row>
    <row r="62">
      <c r="C62" s="14"/>
    </row>
    <row r="63">
      <c r="C63" s="14"/>
    </row>
    <row r="64">
      <c r="C64" s="14"/>
    </row>
    <row r="65">
      <c r="C65" s="14"/>
    </row>
    <row r="66">
      <c r="C66" s="14"/>
    </row>
    <row r="67">
      <c r="C67" s="14"/>
    </row>
    <row r="68">
      <c r="C68" s="14"/>
    </row>
    <row r="69">
      <c r="C69" s="14"/>
    </row>
    <row r="70">
      <c r="C70" s="14"/>
    </row>
    <row r="71">
      <c r="C71" s="14"/>
    </row>
    <row r="72">
      <c r="C72" s="14"/>
    </row>
    <row r="73">
      <c r="C73" s="14"/>
    </row>
    <row r="74">
      <c r="C74" s="14"/>
    </row>
    <row r="75">
      <c r="C75" s="14"/>
    </row>
    <row r="76">
      <c r="C76" s="14"/>
    </row>
    <row r="77">
      <c r="C77" s="14"/>
    </row>
    <row r="78">
      <c r="C78" s="14"/>
    </row>
    <row r="79">
      <c r="C79" s="14"/>
    </row>
    <row r="80">
      <c r="C80" s="14"/>
    </row>
    <row r="81">
      <c r="C81" s="14"/>
    </row>
    <row r="82">
      <c r="C82" s="14"/>
    </row>
    <row r="83">
      <c r="C83" s="14"/>
    </row>
    <row r="84">
      <c r="C84" s="14"/>
    </row>
    <row r="85">
      <c r="C85" s="14"/>
    </row>
    <row r="86">
      <c r="C86" s="14"/>
    </row>
    <row r="87">
      <c r="C87" s="14"/>
    </row>
    <row r="88">
      <c r="C88" s="14"/>
    </row>
    <row r="89">
      <c r="C89" s="14"/>
    </row>
    <row r="90">
      <c r="C90" s="14"/>
    </row>
    <row r="91">
      <c r="C91" s="14"/>
    </row>
    <row r="92">
      <c r="C92" s="14"/>
    </row>
    <row r="93">
      <c r="C93" s="14"/>
    </row>
    <row r="94">
      <c r="C94" s="14"/>
    </row>
    <row r="95">
      <c r="C95" s="14"/>
    </row>
    <row r="96">
      <c r="C96" s="14"/>
    </row>
    <row r="97">
      <c r="C97" s="14"/>
    </row>
    <row r="98">
      <c r="C98" s="14"/>
    </row>
    <row r="99">
      <c r="C99" s="14"/>
    </row>
    <row r="100">
      <c r="C100" s="14"/>
    </row>
    <row r="101">
      <c r="C101" s="14"/>
    </row>
    <row r="102">
      <c r="C102" s="14"/>
    </row>
    <row r="103">
      <c r="C103" s="14"/>
    </row>
    <row r="104">
      <c r="C104" s="14"/>
    </row>
    <row r="105">
      <c r="C105" s="14"/>
    </row>
    <row r="106">
      <c r="C106" s="14"/>
    </row>
    <row r="107">
      <c r="C107" s="14"/>
    </row>
    <row r="108">
      <c r="C108" s="14"/>
    </row>
    <row r="109">
      <c r="C109" s="14"/>
    </row>
    <row r="110">
      <c r="C110" s="14"/>
    </row>
    <row r="111">
      <c r="C111" s="14"/>
    </row>
    <row r="112">
      <c r="C112" s="14"/>
    </row>
    <row r="113">
      <c r="C113" s="14"/>
    </row>
    <row r="114">
      <c r="C114" s="14"/>
    </row>
    <row r="115">
      <c r="C115" s="14"/>
    </row>
    <row r="116">
      <c r="C116" s="14"/>
    </row>
    <row r="117">
      <c r="C117" s="14"/>
    </row>
    <row r="118">
      <c r="C118" s="14"/>
    </row>
    <row r="119">
      <c r="C119" s="14"/>
    </row>
    <row r="120">
      <c r="C120" s="14"/>
    </row>
    <row r="121">
      <c r="C121" s="14"/>
    </row>
    <row r="122">
      <c r="C122" s="14"/>
    </row>
    <row r="123">
      <c r="C123" s="14"/>
    </row>
    <row r="124">
      <c r="C124" s="14"/>
    </row>
    <row r="125">
      <c r="C125" s="14"/>
    </row>
    <row r="126">
      <c r="C126" s="14"/>
    </row>
    <row r="127">
      <c r="C127" s="14"/>
    </row>
    <row r="128">
      <c r="C128" s="14"/>
    </row>
    <row r="129">
      <c r="C129" s="14"/>
    </row>
    <row r="130">
      <c r="C130" s="14"/>
    </row>
    <row r="131">
      <c r="C131" s="14"/>
    </row>
    <row r="132">
      <c r="C132" s="14"/>
    </row>
    <row r="133">
      <c r="C133" s="14"/>
    </row>
    <row r="134">
      <c r="C134" s="14"/>
    </row>
    <row r="135">
      <c r="C135" s="14"/>
    </row>
    <row r="136">
      <c r="C136" s="14"/>
    </row>
    <row r="137">
      <c r="C137" s="14"/>
    </row>
    <row r="138">
      <c r="C138" s="14"/>
    </row>
    <row r="139">
      <c r="C139" s="14"/>
    </row>
    <row r="140">
      <c r="C140" s="14"/>
    </row>
    <row r="141">
      <c r="C141" s="14"/>
    </row>
    <row r="142">
      <c r="C142" s="14"/>
    </row>
    <row r="143">
      <c r="C143" s="14"/>
    </row>
    <row r="144">
      <c r="C144" s="14"/>
    </row>
    <row r="145">
      <c r="C145" s="14"/>
    </row>
    <row r="146">
      <c r="C146" s="14"/>
    </row>
    <row r="147">
      <c r="C147" s="14"/>
    </row>
    <row r="148">
      <c r="C148" s="14"/>
    </row>
    <row r="149">
      <c r="C149" s="14"/>
    </row>
    <row r="150">
      <c r="C150" s="14"/>
    </row>
    <row r="151">
      <c r="C151" s="14"/>
    </row>
    <row r="152">
      <c r="C152" s="14"/>
    </row>
    <row r="153">
      <c r="C153" s="14"/>
    </row>
    <row r="154">
      <c r="C154" s="14"/>
    </row>
    <row r="155">
      <c r="C155" s="14"/>
    </row>
    <row r="156">
      <c r="C156" s="14"/>
    </row>
    <row r="157">
      <c r="C157" s="14"/>
    </row>
    <row r="158">
      <c r="C158" s="14"/>
    </row>
    <row r="159">
      <c r="C159" s="14"/>
    </row>
    <row r="160">
      <c r="C160" s="14"/>
    </row>
    <row r="161">
      <c r="C161" s="14"/>
    </row>
    <row r="162">
      <c r="C162" s="14"/>
    </row>
    <row r="163">
      <c r="C163" s="14"/>
    </row>
    <row r="164">
      <c r="C164" s="14"/>
    </row>
    <row r="165">
      <c r="C165" s="14"/>
    </row>
    <row r="166">
      <c r="C166" s="14"/>
    </row>
    <row r="167">
      <c r="C167" s="14"/>
    </row>
    <row r="168">
      <c r="C168" s="14"/>
    </row>
    <row r="169">
      <c r="C169" s="14"/>
    </row>
    <row r="170">
      <c r="C170" s="14"/>
    </row>
    <row r="171">
      <c r="C171" s="14"/>
    </row>
    <row r="172">
      <c r="C172" s="14"/>
    </row>
    <row r="173">
      <c r="C173" s="14"/>
    </row>
    <row r="174">
      <c r="C174" s="14"/>
    </row>
    <row r="175">
      <c r="C175" s="14"/>
    </row>
    <row r="176">
      <c r="C176" s="14"/>
    </row>
    <row r="177">
      <c r="C177" s="14"/>
    </row>
    <row r="178">
      <c r="C178" s="14"/>
    </row>
    <row r="179">
      <c r="C179" s="14"/>
    </row>
    <row r="180">
      <c r="C180" s="14"/>
    </row>
    <row r="181">
      <c r="C181" s="14"/>
    </row>
    <row r="182">
      <c r="C182" s="14"/>
    </row>
    <row r="183">
      <c r="C183" s="14"/>
    </row>
    <row r="184">
      <c r="C184" s="14"/>
    </row>
    <row r="185">
      <c r="C185" s="14"/>
    </row>
    <row r="186">
      <c r="C186" s="14"/>
    </row>
    <row r="187">
      <c r="C187" s="14"/>
    </row>
    <row r="188">
      <c r="C188" s="14"/>
    </row>
    <row r="189">
      <c r="C189" s="14"/>
    </row>
    <row r="190">
      <c r="C190" s="14"/>
    </row>
    <row r="191">
      <c r="C191" s="14"/>
    </row>
    <row r="192">
      <c r="C192" s="14"/>
    </row>
    <row r="193">
      <c r="C193" s="14"/>
    </row>
    <row r="194">
      <c r="C194" s="14"/>
    </row>
    <row r="195">
      <c r="C195" s="14"/>
    </row>
    <row r="196">
      <c r="C196" s="14"/>
    </row>
    <row r="197">
      <c r="C197" s="14"/>
    </row>
    <row r="198">
      <c r="C198" s="14"/>
    </row>
    <row r="199">
      <c r="C199" s="14"/>
    </row>
    <row r="200">
      <c r="C200" s="14"/>
    </row>
    <row r="201">
      <c r="C201" s="14"/>
    </row>
    <row r="202">
      <c r="C202" s="14"/>
    </row>
    <row r="203">
      <c r="C203" s="14"/>
    </row>
    <row r="204">
      <c r="C204" s="14"/>
    </row>
    <row r="205">
      <c r="C205" s="14"/>
    </row>
    <row r="206">
      <c r="C206" s="14"/>
    </row>
    <row r="207">
      <c r="C207" s="14"/>
    </row>
    <row r="208">
      <c r="C208" s="14"/>
    </row>
    <row r="209">
      <c r="C209" s="14"/>
    </row>
    <row r="210">
      <c r="C210" s="14"/>
    </row>
    <row r="211">
      <c r="C211" s="14"/>
    </row>
    <row r="212">
      <c r="C212" s="14"/>
    </row>
    <row r="213">
      <c r="C213" s="14"/>
    </row>
    <row r="214">
      <c r="C214" s="14"/>
    </row>
    <row r="215">
      <c r="C215" s="14"/>
    </row>
    <row r="216">
      <c r="C216" s="14"/>
    </row>
    <row r="217">
      <c r="C217" s="14"/>
    </row>
    <row r="218">
      <c r="C218" s="14"/>
    </row>
    <row r="219">
      <c r="C219" s="14"/>
    </row>
    <row r="220">
      <c r="C220" s="14"/>
    </row>
    <row r="221">
      <c r="C221" s="14"/>
    </row>
    <row r="222">
      <c r="C222" s="14"/>
    </row>
    <row r="223">
      <c r="C223" s="14"/>
    </row>
    <row r="224">
      <c r="C224" s="14"/>
    </row>
    <row r="225">
      <c r="C225" s="14"/>
    </row>
    <row r="226">
      <c r="C226" s="14"/>
    </row>
    <row r="227">
      <c r="C227" s="14"/>
    </row>
    <row r="228">
      <c r="C228" s="14"/>
    </row>
    <row r="229">
      <c r="C229" s="14"/>
    </row>
    <row r="230">
      <c r="C230" s="14"/>
    </row>
    <row r="231">
      <c r="C231" s="14"/>
    </row>
    <row r="232">
      <c r="C232" s="14"/>
    </row>
    <row r="233">
      <c r="C233" s="14"/>
    </row>
    <row r="234">
      <c r="C234" s="14"/>
    </row>
    <row r="235">
      <c r="C235" s="14"/>
    </row>
    <row r="236">
      <c r="C236" s="14"/>
    </row>
    <row r="237">
      <c r="C237" s="14"/>
    </row>
    <row r="238">
      <c r="C238" s="14"/>
    </row>
    <row r="239">
      <c r="C239" s="14"/>
    </row>
    <row r="240">
      <c r="C240" s="14"/>
    </row>
    <row r="241">
      <c r="C241" s="14"/>
    </row>
    <row r="242">
      <c r="C242" s="14"/>
    </row>
    <row r="243">
      <c r="C243" s="14"/>
    </row>
    <row r="244">
      <c r="C244" s="14"/>
    </row>
    <row r="245">
      <c r="C245" s="14"/>
    </row>
    <row r="246">
      <c r="C246" s="14"/>
    </row>
    <row r="247">
      <c r="C247" s="14"/>
    </row>
    <row r="248">
      <c r="C248" s="14"/>
    </row>
    <row r="249">
      <c r="C249" s="14"/>
    </row>
    <row r="250">
      <c r="C250" s="14"/>
    </row>
    <row r="251">
      <c r="C251" s="14"/>
    </row>
    <row r="252">
      <c r="C252" s="14"/>
    </row>
    <row r="253">
      <c r="C253" s="14"/>
    </row>
    <row r="254">
      <c r="C254" s="14"/>
    </row>
    <row r="255">
      <c r="C255" s="14"/>
    </row>
    <row r="256">
      <c r="C256" s="14"/>
    </row>
    <row r="257">
      <c r="C257" s="14"/>
    </row>
    <row r="258">
      <c r="C258" s="14"/>
    </row>
    <row r="259">
      <c r="C259" s="14"/>
    </row>
    <row r="260">
      <c r="C260" s="14"/>
    </row>
    <row r="261">
      <c r="C261" s="14"/>
    </row>
    <row r="262">
      <c r="C262" s="14"/>
    </row>
    <row r="263">
      <c r="C263" s="14"/>
    </row>
    <row r="264">
      <c r="C264" s="14"/>
    </row>
    <row r="265">
      <c r="C265" s="14"/>
    </row>
    <row r="266">
      <c r="C266" s="14"/>
    </row>
    <row r="267">
      <c r="C267" s="14"/>
    </row>
    <row r="268">
      <c r="C268" s="14"/>
    </row>
    <row r="269">
      <c r="C269" s="14"/>
    </row>
    <row r="270">
      <c r="C270" s="14"/>
    </row>
    <row r="271">
      <c r="C271" s="14"/>
    </row>
    <row r="272">
      <c r="C272" s="14"/>
    </row>
    <row r="273">
      <c r="C273" s="14"/>
    </row>
    <row r="274">
      <c r="C274" s="14"/>
    </row>
    <row r="275">
      <c r="C275" s="14"/>
    </row>
    <row r="276">
      <c r="C276" s="14"/>
    </row>
    <row r="277">
      <c r="C277" s="14"/>
    </row>
    <row r="278">
      <c r="C278" s="14"/>
    </row>
    <row r="279">
      <c r="C279" s="14"/>
    </row>
    <row r="280">
      <c r="C280" s="14"/>
    </row>
    <row r="281">
      <c r="C281" s="14"/>
    </row>
    <row r="282">
      <c r="C282" s="14"/>
    </row>
    <row r="283">
      <c r="C283" s="14"/>
    </row>
    <row r="284">
      <c r="C284" s="14"/>
    </row>
    <row r="285">
      <c r="C285" s="14"/>
    </row>
    <row r="286">
      <c r="C286" s="14"/>
    </row>
    <row r="287">
      <c r="C287" s="14"/>
    </row>
    <row r="288">
      <c r="C288" s="14"/>
    </row>
    <row r="289">
      <c r="C289" s="14"/>
    </row>
    <row r="290">
      <c r="C290" s="14"/>
    </row>
    <row r="291">
      <c r="C291" s="14"/>
    </row>
    <row r="292">
      <c r="C292" s="14"/>
    </row>
    <row r="293">
      <c r="C293" s="14"/>
    </row>
    <row r="294">
      <c r="C294" s="14"/>
    </row>
    <row r="295">
      <c r="C295" s="14"/>
    </row>
    <row r="296">
      <c r="C296" s="14"/>
    </row>
    <row r="297">
      <c r="C297" s="14"/>
    </row>
    <row r="298">
      <c r="C298" s="14"/>
    </row>
    <row r="299">
      <c r="C299" s="14"/>
    </row>
    <row r="300">
      <c r="C300" s="14"/>
    </row>
    <row r="301">
      <c r="C301" s="14"/>
    </row>
    <row r="302">
      <c r="C302" s="14"/>
    </row>
    <row r="303">
      <c r="C303" s="14"/>
    </row>
    <row r="304">
      <c r="C304" s="14"/>
    </row>
    <row r="305">
      <c r="C305" s="14"/>
    </row>
    <row r="306">
      <c r="C306" s="14"/>
    </row>
    <row r="307">
      <c r="C307" s="14"/>
    </row>
    <row r="308">
      <c r="C308" s="14"/>
    </row>
    <row r="309">
      <c r="C309" s="14"/>
    </row>
    <row r="310">
      <c r="C310" s="14"/>
    </row>
    <row r="311">
      <c r="C311" s="14"/>
    </row>
    <row r="312">
      <c r="C312" s="14"/>
    </row>
    <row r="313">
      <c r="C313" s="14"/>
    </row>
    <row r="314">
      <c r="C314" s="14"/>
    </row>
    <row r="315">
      <c r="C315" s="14"/>
    </row>
    <row r="316">
      <c r="C316" s="14"/>
    </row>
    <row r="317">
      <c r="C317" s="14"/>
    </row>
    <row r="318">
      <c r="C318" s="14"/>
    </row>
    <row r="319">
      <c r="C319" s="14"/>
    </row>
    <row r="320">
      <c r="C320" s="14"/>
    </row>
    <row r="321">
      <c r="C321" s="14"/>
    </row>
    <row r="322">
      <c r="C322" s="14"/>
    </row>
    <row r="323">
      <c r="C323" s="14"/>
    </row>
    <row r="324">
      <c r="C324" s="14"/>
    </row>
    <row r="325">
      <c r="C325" s="14"/>
    </row>
    <row r="326">
      <c r="C326" s="14"/>
    </row>
    <row r="327">
      <c r="C327" s="14"/>
    </row>
    <row r="328">
      <c r="C328" s="14"/>
    </row>
    <row r="329">
      <c r="C329" s="14"/>
    </row>
    <row r="330">
      <c r="C330" s="14"/>
    </row>
    <row r="331">
      <c r="C331" s="14"/>
    </row>
    <row r="332">
      <c r="C332" s="14"/>
    </row>
    <row r="333">
      <c r="C333" s="14"/>
    </row>
    <row r="334">
      <c r="C334" s="14"/>
    </row>
    <row r="335">
      <c r="C335" s="14"/>
    </row>
    <row r="336">
      <c r="C336" s="14"/>
    </row>
    <row r="337">
      <c r="C337" s="14"/>
    </row>
    <row r="338">
      <c r="C338" s="14"/>
    </row>
    <row r="339">
      <c r="C339" s="14"/>
    </row>
    <row r="340">
      <c r="C340" s="14"/>
    </row>
    <row r="341">
      <c r="C341" s="14"/>
    </row>
    <row r="342">
      <c r="C342" s="14"/>
    </row>
    <row r="343">
      <c r="C343" s="14"/>
    </row>
    <row r="344">
      <c r="C344" s="14"/>
    </row>
    <row r="345">
      <c r="C345" s="14"/>
    </row>
    <row r="346">
      <c r="C346" s="14"/>
    </row>
    <row r="347">
      <c r="C347" s="14"/>
    </row>
    <row r="348">
      <c r="C348" s="14"/>
    </row>
    <row r="349">
      <c r="C349" s="14"/>
    </row>
    <row r="350">
      <c r="C350" s="14"/>
    </row>
    <row r="351">
      <c r="C351" s="14"/>
    </row>
    <row r="352">
      <c r="C352" s="14"/>
    </row>
    <row r="353">
      <c r="C353" s="14"/>
    </row>
    <row r="354">
      <c r="C354" s="14"/>
    </row>
    <row r="355">
      <c r="C355" s="14"/>
    </row>
    <row r="356">
      <c r="C356" s="14"/>
    </row>
    <row r="357">
      <c r="C357" s="14"/>
    </row>
    <row r="358">
      <c r="C358" s="14"/>
    </row>
    <row r="359">
      <c r="C359" s="14"/>
    </row>
    <row r="360">
      <c r="C360" s="14"/>
    </row>
    <row r="361">
      <c r="C361" s="14"/>
    </row>
    <row r="362">
      <c r="C362" s="14"/>
    </row>
    <row r="363">
      <c r="C363" s="14"/>
    </row>
    <row r="364">
      <c r="C364" s="14"/>
    </row>
    <row r="365">
      <c r="C365" s="14"/>
    </row>
    <row r="366">
      <c r="C366" s="14"/>
    </row>
    <row r="367">
      <c r="C367" s="14"/>
    </row>
    <row r="368">
      <c r="C368" s="14"/>
    </row>
    <row r="369">
      <c r="C369" s="14"/>
    </row>
    <row r="370">
      <c r="C370" s="14"/>
    </row>
    <row r="371">
      <c r="C371" s="14"/>
    </row>
    <row r="372">
      <c r="C372" s="14"/>
    </row>
    <row r="373">
      <c r="C373" s="14"/>
    </row>
    <row r="374">
      <c r="C374" s="14"/>
    </row>
    <row r="375">
      <c r="C375" s="14"/>
    </row>
    <row r="376">
      <c r="C376" s="14"/>
    </row>
    <row r="377">
      <c r="C377" s="14"/>
    </row>
    <row r="378">
      <c r="C378" s="14"/>
    </row>
    <row r="379">
      <c r="C379" s="14"/>
    </row>
    <row r="380">
      <c r="C380" s="14"/>
    </row>
    <row r="381">
      <c r="C381" s="14"/>
    </row>
    <row r="382">
      <c r="C382" s="14"/>
    </row>
    <row r="383">
      <c r="C383" s="14"/>
    </row>
    <row r="384">
      <c r="C384" s="14"/>
    </row>
    <row r="385">
      <c r="C385" s="14"/>
    </row>
    <row r="386">
      <c r="C386" s="14"/>
    </row>
    <row r="387">
      <c r="C387" s="14"/>
    </row>
    <row r="388">
      <c r="C388" s="14"/>
    </row>
    <row r="389">
      <c r="C389" s="14"/>
    </row>
    <row r="390">
      <c r="C390" s="14"/>
    </row>
    <row r="391">
      <c r="C391" s="14"/>
    </row>
    <row r="392">
      <c r="C392" s="14"/>
    </row>
    <row r="393">
      <c r="C393" s="14"/>
    </row>
    <row r="394">
      <c r="C394" s="14"/>
    </row>
    <row r="395">
      <c r="C395" s="14"/>
    </row>
    <row r="396">
      <c r="C396" s="14"/>
    </row>
    <row r="397">
      <c r="C397" s="14"/>
    </row>
    <row r="398">
      <c r="C398" s="14"/>
    </row>
    <row r="399">
      <c r="C399" s="14"/>
    </row>
    <row r="400">
      <c r="C400" s="14"/>
    </row>
    <row r="401">
      <c r="C401" s="14"/>
    </row>
    <row r="402">
      <c r="C402" s="14"/>
    </row>
    <row r="403">
      <c r="C403" s="14"/>
    </row>
    <row r="404">
      <c r="C404" s="14"/>
    </row>
    <row r="405">
      <c r="C405" s="14"/>
    </row>
    <row r="406">
      <c r="C406" s="14"/>
    </row>
    <row r="407">
      <c r="C407" s="14"/>
    </row>
    <row r="408">
      <c r="C408" s="14"/>
    </row>
    <row r="409">
      <c r="C409" s="14"/>
    </row>
    <row r="410">
      <c r="C410" s="14"/>
    </row>
    <row r="411">
      <c r="C411" s="14"/>
    </row>
    <row r="412">
      <c r="C412" s="14"/>
    </row>
    <row r="413">
      <c r="C413" s="14"/>
    </row>
    <row r="414">
      <c r="C414" s="14"/>
    </row>
    <row r="415">
      <c r="C415" s="14"/>
    </row>
    <row r="416">
      <c r="C416" s="14"/>
    </row>
    <row r="417">
      <c r="C417" s="14"/>
    </row>
    <row r="418">
      <c r="C418" s="14"/>
    </row>
    <row r="419">
      <c r="C419" s="14"/>
    </row>
    <row r="420">
      <c r="C420" s="14"/>
    </row>
    <row r="421">
      <c r="C421" s="14"/>
    </row>
    <row r="422">
      <c r="C422" s="14"/>
    </row>
    <row r="423">
      <c r="C423" s="14"/>
    </row>
    <row r="424">
      <c r="C424" s="14"/>
    </row>
    <row r="425">
      <c r="C425" s="14"/>
    </row>
    <row r="426">
      <c r="C426" s="14"/>
    </row>
    <row r="427">
      <c r="C427" s="14"/>
    </row>
    <row r="428">
      <c r="C428" s="14"/>
    </row>
    <row r="429">
      <c r="C429" s="14"/>
    </row>
    <row r="430">
      <c r="C430" s="14"/>
    </row>
    <row r="431">
      <c r="C431" s="14"/>
    </row>
    <row r="432">
      <c r="C432" s="14"/>
    </row>
    <row r="433">
      <c r="C433" s="14"/>
    </row>
    <row r="434">
      <c r="C434" s="14"/>
    </row>
    <row r="435">
      <c r="C435" s="14"/>
    </row>
    <row r="436">
      <c r="C436" s="14"/>
    </row>
    <row r="437">
      <c r="C437" s="14"/>
    </row>
    <row r="438">
      <c r="C438" s="14"/>
    </row>
    <row r="439">
      <c r="C439" s="14"/>
    </row>
    <row r="440">
      <c r="C440" s="14"/>
    </row>
    <row r="441">
      <c r="C441" s="14"/>
    </row>
    <row r="442">
      <c r="C442" s="14"/>
    </row>
    <row r="443">
      <c r="C443" s="14"/>
    </row>
    <row r="444">
      <c r="C444" s="14"/>
    </row>
    <row r="445">
      <c r="C445" s="14"/>
    </row>
    <row r="446">
      <c r="C446" s="14"/>
    </row>
    <row r="447">
      <c r="C447" s="14"/>
    </row>
    <row r="448">
      <c r="C448" s="14"/>
    </row>
    <row r="449">
      <c r="C449" s="14"/>
    </row>
    <row r="450">
      <c r="C450" s="14"/>
    </row>
    <row r="451">
      <c r="C451" s="14"/>
    </row>
    <row r="452">
      <c r="C452" s="14"/>
    </row>
    <row r="453">
      <c r="C453" s="14"/>
    </row>
    <row r="454">
      <c r="C454" s="14"/>
    </row>
    <row r="455">
      <c r="C455" s="14"/>
    </row>
    <row r="456">
      <c r="C456" s="14"/>
    </row>
    <row r="457">
      <c r="C457" s="14"/>
    </row>
    <row r="458">
      <c r="C458" s="14"/>
    </row>
    <row r="459">
      <c r="C459" s="14"/>
    </row>
    <row r="460">
      <c r="C460" s="14"/>
    </row>
    <row r="461">
      <c r="C461" s="14"/>
    </row>
    <row r="462">
      <c r="C462" s="14"/>
    </row>
    <row r="463">
      <c r="C463" s="14"/>
    </row>
    <row r="464">
      <c r="C464" s="14"/>
    </row>
    <row r="465">
      <c r="C465" s="14"/>
    </row>
    <row r="466">
      <c r="C466" s="14"/>
    </row>
    <row r="467">
      <c r="C467" s="14"/>
    </row>
    <row r="468">
      <c r="C468" s="14"/>
    </row>
    <row r="469">
      <c r="C469" s="14"/>
    </row>
    <row r="470">
      <c r="C470" s="14"/>
    </row>
    <row r="471">
      <c r="C471" s="14"/>
    </row>
    <row r="472">
      <c r="C472" s="14"/>
    </row>
    <row r="473">
      <c r="C473" s="14"/>
    </row>
    <row r="474">
      <c r="C474" s="14"/>
    </row>
    <row r="475">
      <c r="C475" s="14"/>
    </row>
    <row r="476">
      <c r="C476" s="14"/>
    </row>
    <row r="477">
      <c r="C477" s="14"/>
    </row>
    <row r="478">
      <c r="C478" s="14"/>
    </row>
    <row r="479">
      <c r="C479" s="14"/>
    </row>
    <row r="480">
      <c r="C480" s="14"/>
    </row>
    <row r="481">
      <c r="C481" s="14"/>
    </row>
    <row r="482">
      <c r="C482" s="14"/>
    </row>
    <row r="483">
      <c r="C483" s="14"/>
    </row>
    <row r="484">
      <c r="C484" s="14"/>
    </row>
    <row r="485">
      <c r="C485" s="14"/>
    </row>
    <row r="486">
      <c r="C486" s="14"/>
    </row>
    <row r="487">
      <c r="C487" s="14"/>
    </row>
    <row r="488">
      <c r="C488" s="14"/>
    </row>
    <row r="489">
      <c r="C489" s="14"/>
    </row>
    <row r="490">
      <c r="C490" s="14"/>
    </row>
    <row r="491">
      <c r="C491" s="14"/>
    </row>
    <row r="492">
      <c r="C492" s="14"/>
    </row>
    <row r="493">
      <c r="C493" s="14"/>
    </row>
    <row r="494">
      <c r="C494" s="14"/>
    </row>
    <row r="495">
      <c r="C495" s="14"/>
    </row>
    <row r="496">
      <c r="C496" s="14"/>
    </row>
    <row r="497">
      <c r="C497" s="14"/>
    </row>
    <row r="498">
      <c r="C498" s="14"/>
    </row>
    <row r="499">
      <c r="C499" s="14"/>
    </row>
    <row r="500">
      <c r="C500" s="14"/>
    </row>
    <row r="501">
      <c r="C501" s="14"/>
    </row>
    <row r="502">
      <c r="C502" s="14"/>
    </row>
    <row r="503">
      <c r="C503" s="14"/>
    </row>
    <row r="504">
      <c r="C504" s="14"/>
    </row>
    <row r="505">
      <c r="C505" s="14"/>
    </row>
    <row r="506">
      <c r="C506" s="14"/>
    </row>
    <row r="507">
      <c r="C507" s="14"/>
    </row>
    <row r="508">
      <c r="C508" s="14"/>
    </row>
    <row r="509">
      <c r="C509" s="14"/>
    </row>
    <row r="510">
      <c r="C510" s="14"/>
    </row>
    <row r="511">
      <c r="C511" s="14"/>
    </row>
    <row r="512">
      <c r="C512" s="14"/>
    </row>
    <row r="513">
      <c r="C513" s="14"/>
    </row>
    <row r="514">
      <c r="C514" s="14"/>
    </row>
    <row r="515">
      <c r="C515" s="14"/>
    </row>
    <row r="516">
      <c r="C516" s="14"/>
    </row>
    <row r="517">
      <c r="C517" s="14"/>
    </row>
    <row r="518">
      <c r="C518" s="14"/>
    </row>
    <row r="519">
      <c r="C519" s="14"/>
    </row>
    <row r="520">
      <c r="C520" s="14"/>
    </row>
    <row r="521">
      <c r="C521" s="14"/>
    </row>
    <row r="522">
      <c r="C522" s="14"/>
    </row>
    <row r="523">
      <c r="C523" s="14"/>
    </row>
    <row r="524">
      <c r="C524" s="14"/>
    </row>
    <row r="525">
      <c r="C525" s="14"/>
    </row>
    <row r="526">
      <c r="C526" s="14"/>
    </row>
    <row r="527">
      <c r="C527" s="14"/>
    </row>
    <row r="528">
      <c r="C528" s="14"/>
    </row>
    <row r="529">
      <c r="C529" s="14"/>
    </row>
    <row r="530">
      <c r="C530" s="14"/>
    </row>
    <row r="531">
      <c r="C531" s="14"/>
    </row>
    <row r="532">
      <c r="C532" s="14"/>
    </row>
    <row r="533">
      <c r="C533" s="14"/>
    </row>
    <row r="534">
      <c r="C534" s="14"/>
    </row>
    <row r="535">
      <c r="C535" s="14"/>
    </row>
    <row r="536">
      <c r="C536" s="14"/>
    </row>
    <row r="537">
      <c r="C537" s="14"/>
    </row>
    <row r="538">
      <c r="C538" s="14"/>
    </row>
    <row r="539">
      <c r="C539" s="14"/>
    </row>
    <row r="540">
      <c r="C540" s="14"/>
    </row>
    <row r="541">
      <c r="C541" s="14"/>
    </row>
    <row r="542">
      <c r="C542" s="14"/>
    </row>
    <row r="543">
      <c r="C543" s="14"/>
    </row>
    <row r="544">
      <c r="C544" s="14"/>
    </row>
    <row r="545">
      <c r="C545" s="14"/>
    </row>
    <row r="546">
      <c r="C546" s="14"/>
    </row>
    <row r="547">
      <c r="C547" s="14"/>
    </row>
    <row r="548">
      <c r="C548" s="14"/>
    </row>
    <row r="549">
      <c r="C549" s="14"/>
    </row>
    <row r="550">
      <c r="C550" s="14"/>
    </row>
    <row r="551">
      <c r="C551" s="14"/>
    </row>
    <row r="552">
      <c r="C552" s="14"/>
    </row>
    <row r="553">
      <c r="C553" s="14"/>
    </row>
    <row r="554">
      <c r="C554" s="14"/>
    </row>
    <row r="555">
      <c r="C555" s="14"/>
    </row>
    <row r="556">
      <c r="C556" s="14"/>
    </row>
    <row r="557">
      <c r="C557" s="14"/>
    </row>
    <row r="558">
      <c r="C558" s="14"/>
    </row>
    <row r="559">
      <c r="C559" s="14"/>
    </row>
    <row r="560">
      <c r="C560" s="14"/>
    </row>
    <row r="561">
      <c r="C561" s="14"/>
    </row>
    <row r="562">
      <c r="C562" s="14"/>
    </row>
    <row r="563">
      <c r="C563" s="14"/>
    </row>
    <row r="564">
      <c r="C564" s="14"/>
    </row>
    <row r="565">
      <c r="C565" s="14"/>
    </row>
    <row r="566">
      <c r="C566" s="14"/>
    </row>
    <row r="567">
      <c r="C567" s="14"/>
    </row>
    <row r="568">
      <c r="C568" s="14"/>
    </row>
    <row r="569">
      <c r="C569" s="14"/>
    </row>
    <row r="570">
      <c r="C570" s="14"/>
    </row>
    <row r="571">
      <c r="C571" s="14"/>
    </row>
    <row r="572">
      <c r="C572" s="14"/>
    </row>
    <row r="573">
      <c r="C573" s="14"/>
    </row>
    <row r="574">
      <c r="C574" s="14"/>
    </row>
    <row r="575">
      <c r="C575" s="14"/>
    </row>
    <row r="576">
      <c r="C576" s="14"/>
    </row>
    <row r="577">
      <c r="C577" s="14"/>
    </row>
    <row r="578">
      <c r="C578" s="14"/>
    </row>
    <row r="579">
      <c r="C579" s="14"/>
    </row>
    <row r="580">
      <c r="C580" s="14"/>
    </row>
    <row r="581">
      <c r="C581" s="14"/>
    </row>
    <row r="582">
      <c r="C582" s="14"/>
    </row>
    <row r="583">
      <c r="C583" s="14"/>
    </row>
    <row r="584">
      <c r="C584" s="14"/>
    </row>
    <row r="585">
      <c r="C585" s="14"/>
    </row>
    <row r="586">
      <c r="C586" s="14"/>
    </row>
    <row r="587">
      <c r="C587" s="14"/>
    </row>
    <row r="588">
      <c r="C588" s="14"/>
    </row>
    <row r="589">
      <c r="C589" s="14"/>
    </row>
    <row r="590">
      <c r="C590" s="14"/>
    </row>
    <row r="591">
      <c r="C591" s="14"/>
    </row>
    <row r="592">
      <c r="C592" s="14"/>
    </row>
    <row r="593">
      <c r="C593" s="14"/>
    </row>
    <row r="594">
      <c r="C594" s="14"/>
    </row>
    <row r="595">
      <c r="C595" s="14"/>
    </row>
    <row r="596">
      <c r="C596" s="14"/>
    </row>
    <row r="597">
      <c r="C597" s="14"/>
    </row>
    <row r="598">
      <c r="C598" s="14"/>
    </row>
    <row r="599">
      <c r="C599" s="14"/>
    </row>
    <row r="600">
      <c r="C600" s="14"/>
    </row>
    <row r="601">
      <c r="C601" s="14"/>
    </row>
    <row r="602">
      <c r="C602" s="14"/>
    </row>
    <row r="603">
      <c r="C603" s="14"/>
    </row>
    <row r="604">
      <c r="C604" s="14"/>
    </row>
    <row r="605">
      <c r="C605" s="14"/>
    </row>
    <row r="606">
      <c r="C606" s="14"/>
    </row>
    <row r="607">
      <c r="C607" s="14"/>
    </row>
    <row r="608">
      <c r="C608" s="14"/>
    </row>
    <row r="609">
      <c r="C609" s="14"/>
    </row>
    <row r="610">
      <c r="C610" s="14"/>
    </row>
    <row r="611">
      <c r="C611" s="14"/>
    </row>
    <row r="612">
      <c r="C612" s="14"/>
    </row>
    <row r="613">
      <c r="C613" s="14"/>
    </row>
    <row r="614">
      <c r="C614" s="14"/>
    </row>
    <row r="615">
      <c r="C615" s="14"/>
    </row>
    <row r="616">
      <c r="C616" s="14"/>
    </row>
    <row r="617">
      <c r="C617" s="14"/>
    </row>
    <row r="618">
      <c r="C618" s="14"/>
    </row>
    <row r="619">
      <c r="C619" s="14"/>
    </row>
    <row r="620">
      <c r="C620" s="14"/>
    </row>
    <row r="621">
      <c r="C621" s="14"/>
    </row>
    <row r="622">
      <c r="C622" s="14"/>
    </row>
    <row r="623">
      <c r="C623" s="14"/>
    </row>
    <row r="624">
      <c r="C624" s="14"/>
    </row>
    <row r="625">
      <c r="C625" s="14"/>
    </row>
    <row r="626">
      <c r="C626" s="14"/>
    </row>
    <row r="627">
      <c r="C627" s="14"/>
    </row>
    <row r="628">
      <c r="C628" s="14"/>
    </row>
    <row r="629">
      <c r="C629" s="14"/>
    </row>
    <row r="630">
      <c r="C630" s="14"/>
    </row>
    <row r="631">
      <c r="C631" s="14"/>
    </row>
    <row r="632">
      <c r="C632" s="14"/>
    </row>
    <row r="633">
      <c r="C633" s="14"/>
    </row>
    <row r="634">
      <c r="C634" s="14"/>
    </row>
    <row r="635">
      <c r="C635" s="14"/>
    </row>
    <row r="636">
      <c r="C636" s="14"/>
    </row>
    <row r="637">
      <c r="C637" s="14"/>
    </row>
    <row r="638">
      <c r="C638" s="14"/>
    </row>
    <row r="639">
      <c r="C639" s="14"/>
    </row>
    <row r="640">
      <c r="C640" s="14"/>
    </row>
    <row r="641">
      <c r="C641" s="14"/>
    </row>
    <row r="642">
      <c r="C642" s="14"/>
    </row>
    <row r="643">
      <c r="C643" s="14"/>
    </row>
    <row r="644">
      <c r="C644" s="14"/>
    </row>
    <row r="645">
      <c r="C645" s="14"/>
    </row>
    <row r="646">
      <c r="C646" s="14"/>
    </row>
    <row r="647">
      <c r="C647" s="14"/>
    </row>
    <row r="648">
      <c r="C648" s="14"/>
    </row>
    <row r="649">
      <c r="C649" s="14"/>
    </row>
    <row r="650">
      <c r="C650" s="14"/>
    </row>
    <row r="651">
      <c r="C651" s="14"/>
    </row>
    <row r="652">
      <c r="C652" s="14"/>
    </row>
    <row r="653">
      <c r="C653" s="14"/>
    </row>
    <row r="654">
      <c r="C654" s="14"/>
    </row>
    <row r="655">
      <c r="C655" s="14"/>
    </row>
    <row r="656">
      <c r="C656" s="14"/>
    </row>
    <row r="657">
      <c r="C657" s="14"/>
    </row>
    <row r="658">
      <c r="C658" s="14"/>
    </row>
    <row r="659">
      <c r="C659" s="14"/>
    </row>
    <row r="660">
      <c r="C660" s="14"/>
    </row>
    <row r="661">
      <c r="C661" s="14"/>
    </row>
    <row r="662">
      <c r="C662" s="14"/>
    </row>
    <row r="663">
      <c r="C663" s="14"/>
    </row>
    <row r="664">
      <c r="C664" s="14"/>
    </row>
    <row r="665">
      <c r="C665" s="14"/>
    </row>
    <row r="666">
      <c r="C666" s="14"/>
    </row>
    <row r="667">
      <c r="C667" s="14"/>
    </row>
    <row r="668">
      <c r="C668" s="14"/>
    </row>
    <row r="669">
      <c r="C669" s="14"/>
    </row>
    <row r="670">
      <c r="C670" s="14"/>
    </row>
    <row r="671">
      <c r="C671" s="14"/>
    </row>
    <row r="672">
      <c r="C672" s="14"/>
    </row>
    <row r="673">
      <c r="C673" s="14"/>
    </row>
    <row r="674">
      <c r="C674" s="14"/>
    </row>
    <row r="675">
      <c r="C675" s="14"/>
    </row>
    <row r="676">
      <c r="C676" s="14"/>
    </row>
    <row r="677">
      <c r="C677" s="14"/>
    </row>
    <row r="678">
      <c r="C678" s="14"/>
    </row>
    <row r="679">
      <c r="C679" s="14"/>
    </row>
    <row r="680">
      <c r="C680" s="14"/>
    </row>
    <row r="681">
      <c r="C681" s="14"/>
    </row>
    <row r="682">
      <c r="C682" s="14"/>
    </row>
    <row r="683">
      <c r="C683" s="14"/>
    </row>
    <row r="684">
      <c r="C684" s="14"/>
    </row>
    <row r="685">
      <c r="C685" s="14"/>
    </row>
    <row r="686">
      <c r="C686" s="14"/>
    </row>
    <row r="687">
      <c r="C687" s="14"/>
    </row>
    <row r="688">
      <c r="C688" s="14"/>
    </row>
    <row r="689">
      <c r="C689" s="14"/>
    </row>
    <row r="690">
      <c r="C690" s="14"/>
    </row>
    <row r="691">
      <c r="C691" s="14"/>
    </row>
    <row r="692">
      <c r="C692" s="14"/>
    </row>
    <row r="693">
      <c r="C693" s="14"/>
    </row>
    <row r="694">
      <c r="C694" s="14"/>
    </row>
    <row r="695">
      <c r="C695" s="14"/>
    </row>
    <row r="696">
      <c r="C696" s="14"/>
    </row>
    <row r="697">
      <c r="C697" s="14"/>
    </row>
    <row r="698">
      <c r="C698" s="14"/>
    </row>
    <row r="699">
      <c r="C699" s="14"/>
    </row>
    <row r="700">
      <c r="C700" s="14"/>
    </row>
    <row r="701">
      <c r="C701" s="14"/>
    </row>
    <row r="702">
      <c r="C702" s="14"/>
    </row>
    <row r="703">
      <c r="C703" s="14"/>
    </row>
    <row r="704">
      <c r="C704" s="14"/>
    </row>
    <row r="705">
      <c r="C705" s="14"/>
    </row>
    <row r="706">
      <c r="C706" s="14"/>
    </row>
    <row r="707">
      <c r="C707" s="14"/>
    </row>
    <row r="708">
      <c r="C708" s="14"/>
    </row>
    <row r="709">
      <c r="C709" s="14"/>
    </row>
    <row r="710">
      <c r="C710" s="14"/>
    </row>
    <row r="711">
      <c r="C711" s="14"/>
    </row>
    <row r="712">
      <c r="C712" s="14"/>
    </row>
    <row r="713">
      <c r="C713" s="14"/>
    </row>
    <row r="714">
      <c r="C714" s="14"/>
    </row>
    <row r="715">
      <c r="C715" s="14"/>
    </row>
    <row r="716">
      <c r="C716" s="14"/>
    </row>
    <row r="717">
      <c r="C717" s="14"/>
    </row>
    <row r="718">
      <c r="C718" s="14"/>
    </row>
    <row r="719">
      <c r="C719" s="14"/>
    </row>
    <row r="720">
      <c r="C720" s="14"/>
    </row>
    <row r="721">
      <c r="C721" s="14"/>
    </row>
    <row r="722">
      <c r="C722" s="14"/>
    </row>
    <row r="723">
      <c r="C723" s="14"/>
    </row>
    <row r="724">
      <c r="C724" s="14"/>
    </row>
    <row r="725">
      <c r="C725" s="14"/>
    </row>
    <row r="726">
      <c r="C726" s="14"/>
    </row>
    <row r="727">
      <c r="C727" s="14"/>
    </row>
    <row r="728">
      <c r="C728" s="14"/>
    </row>
    <row r="729">
      <c r="C729" s="14"/>
    </row>
    <row r="730">
      <c r="C730" s="14"/>
    </row>
    <row r="731">
      <c r="C731" s="14"/>
    </row>
    <row r="732">
      <c r="C732" s="14"/>
    </row>
    <row r="733">
      <c r="C733" s="14"/>
    </row>
    <row r="734">
      <c r="C734" s="14"/>
    </row>
    <row r="735">
      <c r="C735" s="14"/>
    </row>
    <row r="736">
      <c r="C736" s="14"/>
    </row>
    <row r="737">
      <c r="C737" s="14"/>
    </row>
    <row r="738">
      <c r="C738" s="14"/>
    </row>
    <row r="739">
      <c r="C739" s="14"/>
    </row>
    <row r="740">
      <c r="C740" s="14"/>
    </row>
    <row r="741">
      <c r="C741" s="14"/>
    </row>
    <row r="742">
      <c r="C742" s="14"/>
    </row>
    <row r="743">
      <c r="C743" s="14"/>
    </row>
    <row r="744">
      <c r="C744" s="14"/>
    </row>
    <row r="745">
      <c r="C745" s="14"/>
    </row>
    <row r="746">
      <c r="C746" s="14"/>
    </row>
    <row r="747">
      <c r="C747" s="14"/>
    </row>
    <row r="748">
      <c r="C748" s="14"/>
    </row>
    <row r="749">
      <c r="C749" s="14"/>
    </row>
    <row r="750">
      <c r="C750" s="14"/>
    </row>
    <row r="751">
      <c r="C751" s="14"/>
    </row>
    <row r="752">
      <c r="C752" s="14"/>
    </row>
    <row r="753">
      <c r="C753" s="14"/>
    </row>
    <row r="754">
      <c r="C754" s="14"/>
    </row>
    <row r="755">
      <c r="C755" s="14"/>
    </row>
    <row r="756">
      <c r="C756" s="14"/>
    </row>
    <row r="757">
      <c r="C757" s="14"/>
    </row>
    <row r="758">
      <c r="C758" s="14"/>
    </row>
    <row r="759">
      <c r="C759" s="14"/>
    </row>
    <row r="760">
      <c r="C760" s="14"/>
    </row>
    <row r="761">
      <c r="C761" s="14"/>
    </row>
    <row r="762">
      <c r="C762" s="14"/>
    </row>
    <row r="763">
      <c r="C763" s="14"/>
    </row>
    <row r="764">
      <c r="C764" s="14"/>
    </row>
    <row r="765">
      <c r="C765" s="14"/>
    </row>
    <row r="766">
      <c r="C766" s="14"/>
    </row>
    <row r="767">
      <c r="C767" s="14"/>
    </row>
    <row r="768">
      <c r="C768" s="14"/>
    </row>
    <row r="769">
      <c r="C769" s="14"/>
    </row>
    <row r="770">
      <c r="C770" s="14"/>
    </row>
    <row r="771">
      <c r="C771" s="14"/>
    </row>
    <row r="772">
      <c r="C772" s="14"/>
    </row>
    <row r="773">
      <c r="C773" s="14"/>
    </row>
    <row r="774">
      <c r="C774" s="14"/>
    </row>
    <row r="775">
      <c r="C775" s="14"/>
    </row>
    <row r="776">
      <c r="C776" s="14"/>
    </row>
    <row r="777">
      <c r="C777" s="14"/>
    </row>
    <row r="778">
      <c r="C778" s="14"/>
    </row>
    <row r="779">
      <c r="C779" s="14"/>
    </row>
    <row r="780">
      <c r="C780" s="14"/>
    </row>
    <row r="781">
      <c r="C781" s="14"/>
    </row>
    <row r="782">
      <c r="C782" s="14"/>
    </row>
    <row r="783">
      <c r="C783" s="14"/>
    </row>
    <row r="784">
      <c r="C784" s="14"/>
    </row>
    <row r="785">
      <c r="C785" s="14"/>
    </row>
    <row r="786">
      <c r="C786" s="14"/>
    </row>
    <row r="787">
      <c r="C787" s="14"/>
    </row>
    <row r="788">
      <c r="C788" s="14"/>
    </row>
    <row r="789">
      <c r="C789" s="14"/>
    </row>
    <row r="790">
      <c r="C790" s="14"/>
    </row>
    <row r="791">
      <c r="C791" s="14"/>
    </row>
    <row r="792">
      <c r="C792" s="14"/>
    </row>
    <row r="793">
      <c r="C793" s="14"/>
    </row>
    <row r="794">
      <c r="C794" s="14"/>
    </row>
    <row r="795">
      <c r="C795" s="14"/>
    </row>
    <row r="796">
      <c r="C796" s="14"/>
    </row>
    <row r="797">
      <c r="C797" s="14"/>
    </row>
    <row r="798">
      <c r="C798" s="14"/>
    </row>
    <row r="799">
      <c r="C799" s="14"/>
    </row>
    <row r="800">
      <c r="C800" s="14"/>
    </row>
    <row r="801">
      <c r="C801" s="14"/>
    </row>
    <row r="802">
      <c r="C802" s="14"/>
    </row>
    <row r="803">
      <c r="C803" s="14"/>
    </row>
    <row r="804">
      <c r="C804" s="14"/>
    </row>
    <row r="805">
      <c r="C805" s="14"/>
    </row>
    <row r="806">
      <c r="C806" s="14"/>
    </row>
    <row r="807">
      <c r="C807" s="14"/>
    </row>
    <row r="808">
      <c r="C808" s="14"/>
    </row>
    <row r="809">
      <c r="C809" s="14"/>
    </row>
    <row r="810">
      <c r="C810" s="14"/>
    </row>
    <row r="811">
      <c r="C811" s="14"/>
    </row>
    <row r="812">
      <c r="C812" s="14"/>
    </row>
    <row r="813">
      <c r="C813" s="14"/>
    </row>
    <row r="814">
      <c r="C814" s="14"/>
    </row>
    <row r="815">
      <c r="C815" s="14"/>
    </row>
    <row r="816">
      <c r="C816" s="14"/>
    </row>
    <row r="817">
      <c r="C817" s="14"/>
    </row>
    <row r="818">
      <c r="C818" s="14"/>
    </row>
    <row r="819">
      <c r="C819" s="14"/>
    </row>
    <row r="820">
      <c r="C820" s="14"/>
    </row>
    <row r="821">
      <c r="C821" s="14"/>
    </row>
    <row r="822">
      <c r="C822" s="14"/>
    </row>
    <row r="823">
      <c r="C823" s="14"/>
    </row>
    <row r="824">
      <c r="C824" s="14"/>
    </row>
    <row r="825">
      <c r="C825" s="14"/>
    </row>
    <row r="826">
      <c r="C826" s="14"/>
    </row>
    <row r="827">
      <c r="C827" s="14"/>
    </row>
    <row r="828">
      <c r="C828" s="14"/>
    </row>
    <row r="829">
      <c r="C829" s="14"/>
    </row>
    <row r="830">
      <c r="C830" s="14"/>
    </row>
    <row r="831">
      <c r="C831" s="14"/>
    </row>
    <row r="832">
      <c r="C832" s="14"/>
    </row>
    <row r="833">
      <c r="C833" s="14"/>
    </row>
    <row r="834">
      <c r="C834" s="14"/>
    </row>
    <row r="835">
      <c r="C835" s="14"/>
    </row>
    <row r="836">
      <c r="C836" s="14"/>
    </row>
    <row r="837">
      <c r="C837" s="14"/>
    </row>
    <row r="838">
      <c r="C838" s="14"/>
    </row>
    <row r="839">
      <c r="C839" s="14"/>
    </row>
    <row r="840">
      <c r="C840" s="14"/>
    </row>
    <row r="841">
      <c r="C841" s="14"/>
    </row>
    <row r="842">
      <c r="C842" s="14"/>
    </row>
    <row r="843">
      <c r="C843" s="14"/>
    </row>
    <row r="844">
      <c r="C844" s="14"/>
    </row>
    <row r="845">
      <c r="C845" s="14"/>
    </row>
    <row r="846">
      <c r="C846" s="14"/>
    </row>
    <row r="847">
      <c r="C847" s="14"/>
    </row>
    <row r="848">
      <c r="C848" s="14"/>
    </row>
    <row r="849">
      <c r="C849" s="14"/>
    </row>
    <row r="850">
      <c r="C850" s="14"/>
    </row>
    <row r="851">
      <c r="C851" s="14"/>
    </row>
    <row r="852">
      <c r="C852" s="14"/>
    </row>
    <row r="853">
      <c r="C853" s="14"/>
    </row>
    <row r="854">
      <c r="C854" s="14"/>
    </row>
    <row r="855">
      <c r="C855" s="14"/>
    </row>
    <row r="856">
      <c r="C856" s="14"/>
    </row>
    <row r="857">
      <c r="C857" s="14"/>
    </row>
    <row r="858">
      <c r="C858" s="14"/>
    </row>
    <row r="859">
      <c r="C859" s="14"/>
    </row>
    <row r="860">
      <c r="C860" s="14"/>
    </row>
    <row r="861">
      <c r="C861" s="14"/>
    </row>
    <row r="862">
      <c r="C862" s="14"/>
    </row>
    <row r="863">
      <c r="C863" s="14"/>
    </row>
    <row r="864">
      <c r="C864" s="14"/>
    </row>
    <row r="865">
      <c r="C865" s="14"/>
    </row>
    <row r="866">
      <c r="C866" s="14"/>
    </row>
    <row r="867">
      <c r="C867" s="14"/>
    </row>
    <row r="868">
      <c r="C868" s="14"/>
    </row>
    <row r="869">
      <c r="C869" s="14"/>
    </row>
    <row r="870">
      <c r="C870" s="14"/>
    </row>
    <row r="871">
      <c r="C871" s="14"/>
    </row>
    <row r="872">
      <c r="C872" s="14"/>
    </row>
    <row r="873">
      <c r="C873" s="14"/>
    </row>
    <row r="874">
      <c r="C874" s="14"/>
    </row>
    <row r="875">
      <c r="C875" s="14"/>
    </row>
    <row r="876">
      <c r="C876" s="14"/>
    </row>
    <row r="877">
      <c r="C877" s="14"/>
    </row>
    <row r="878">
      <c r="C878" s="14"/>
    </row>
    <row r="879">
      <c r="C879" s="14"/>
    </row>
    <row r="880">
      <c r="C880" s="14"/>
    </row>
    <row r="881">
      <c r="C881" s="14"/>
    </row>
    <row r="882">
      <c r="C882" s="14"/>
    </row>
    <row r="883">
      <c r="C883" s="14"/>
    </row>
    <row r="884">
      <c r="C884" s="14"/>
    </row>
    <row r="885">
      <c r="C885" s="14"/>
    </row>
    <row r="886">
      <c r="C886" s="14"/>
    </row>
    <row r="887">
      <c r="C887" s="14"/>
    </row>
    <row r="888">
      <c r="C888" s="14"/>
    </row>
    <row r="889">
      <c r="C889" s="14"/>
    </row>
    <row r="890">
      <c r="C890" s="14"/>
    </row>
    <row r="891">
      <c r="C891" s="14"/>
    </row>
    <row r="892">
      <c r="C892" s="14"/>
    </row>
    <row r="893">
      <c r="C893" s="14"/>
    </row>
    <row r="894">
      <c r="C894" s="14"/>
    </row>
    <row r="895">
      <c r="C895" s="14"/>
    </row>
    <row r="896">
      <c r="C896" s="14"/>
    </row>
    <row r="897">
      <c r="C897" s="14"/>
    </row>
    <row r="898">
      <c r="C898" s="14"/>
    </row>
    <row r="899">
      <c r="C899" s="14"/>
    </row>
    <row r="900">
      <c r="C900" s="14"/>
    </row>
    <row r="901">
      <c r="C901" s="14"/>
    </row>
    <row r="902">
      <c r="C902" s="14"/>
    </row>
    <row r="903">
      <c r="C903" s="14"/>
    </row>
    <row r="904">
      <c r="C904" s="14"/>
    </row>
    <row r="905">
      <c r="C905" s="14"/>
    </row>
    <row r="906">
      <c r="C906" s="14"/>
    </row>
    <row r="907">
      <c r="C907" s="14"/>
    </row>
    <row r="908">
      <c r="C908" s="14"/>
    </row>
    <row r="909">
      <c r="C909" s="14"/>
    </row>
    <row r="910">
      <c r="C910" s="14"/>
    </row>
    <row r="911">
      <c r="C911" s="14"/>
    </row>
    <row r="912">
      <c r="C912" s="14"/>
    </row>
    <row r="913">
      <c r="C913" s="14"/>
    </row>
    <row r="914">
      <c r="C914" s="14"/>
    </row>
    <row r="915">
      <c r="C915" s="14"/>
    </row>
    <row r="916">
      <c r="C916" s="14"/>
    </row>
    <row r="917">
      <c r="C917" s="14"/>
    </row>
    <row r="918">
      <c r="C918" s="14"/>
    </row>
    <row r="919">
      <c r="C919" s="14"/>
    </row>
    <row r="920">
      <c r="C920" s="14"/>
    </row>
    <row r="921">
      <c r="C921" s="14"/>
    </row>
    <row r="922">
      <c r="C922" s="14"/>
    </row>
    <row r="923">
      <c r="C923" s="14"/>
    </row>
    <row r="924">
      <c r="C924" s="14"/>
    </row>
    <row r="925">
      <c r="C925" s="14"/>
    </row>
    <row r="926">
      <c r="C926" s="14"/>
    </row>
    <row r="927">
      <c r="C927" s="14"/>
    </row>
    <row r="928">
      <c r="C928" s="14"/>
    </row>
    <row r="929">
      <c r="C929" s="14"/>
    </row>
    <row r="930">
      <c r="C930" s="14"/>
    </row>
    <row r="931">
      <c r="C931" s="14"/>
    </row>
    <row r="932">
      <c r="C932" s="14"/>
    </row>
    <row r="933">
      <c r="C933" s="14"/>
    </row>
    <row r="934">
      <c r="C934" s="14"/>
    </row>
    <row r="935">
      <c r="C935" s="14"/>
    </row>
    <row r="936">
      <c r="C936" s="14"/>
    </row>
    <row r="937">
      <c r="C937" s="14"/>
    </row>
    <row r="938">
      <c r="C938" s="14"/>
    </row>
    <row r="939">
      <c r="C939" s="14"/>
    </row>
    <row r="940">
      <c r="C940" s="14"/>
    </row>
    <row r="941">
      <c r="C941" s="14"/>
    </row>
    <row r="942">
      <c r="C942" s="14"/>
    </row>
    <row r="943">
      <c r="C943" s="14"/>
    </row>
    <row r="944">
      <c r="C944" s="14"/>
    </row>
    <row r="945">
      <c r="C945" s="14"/>
    </row>
    <row r="946">
      <c r="C946" s="14"/>
    </row>
    <row r="947">
      <c r="C947" s="14"/>
    </row>
    <row r="948">
      <c r="C948" s="14"/>
    </row>
    <row r="949">
      <c r="C949" s="14"/>
    </row>
    <row r="950">
      <c r="C950" s="14"/>
    </row>
    <row r="951">
      <c r="C951" s="14"/>
    </row>
    <row r="952">
      <c r="C952" s="14"/>
    </row>
    <row r="953">
      <c r="C953" s="14"/>
    </row>
    <row r="954">
      <c r="C954" s="14"/>
    </row>
    <row r="955">
      <c r="C955" s="14"/>
    </row>
    <row r="956">
      <c r="C956" s="14"/>
    </row>
    <row r="957">
      <c r="C957" s="14"/>
    </row>
    <row r="958">
      <c r="C958" s="14"/>
    </row>
    <row r="959">
      <c r="C959" s="14"/>
    </row>
    <row r="960">
      <c r="C960" s="14"/>
    </row>
    <row r="961">
      <c r="C961" s="14"/>
    </row>
    <row r="962">
      <c r="C962" s="14"/>
    </row>
    <row r="963">
      <c r="C963" s="14"/>
    </row>
    <row r="964">
      <c r="C964" s="14"/>
    </row>
    <row r="965">
      <c r="C965" s="14"/>
    </row>
    <row r="966">
      <c r="C966" s="14"/>
    </row>
    <row r="967">
      <c r="C967" s="14"/>
    </row>
    <row r="968">
      <c r="C968" s="14"/>
    </row>
    <row r="969">
      <c r="C969" s="14"/>
    </row>
    <row r="970">
      <c r="C970" s="14"/>
    </row>
    <row r="971">
      <c r="C971" s="14"/>
    </row>
    <row r="972">
      <c r="C972" s="14"/>
    </row>
    <row r="973">
      <c r="C973" s="14"/>
    </row>
    <row r="974">
      <c r="C974" s="14"/>
    </row>
    <row r="975">
      <c r="C975" s="14"/>
    </row>
    <row r="976">
      <c r="C976" s="14"/>
    </row>
    <row r="977">
      <c r="C977" s="14"/>
    </row>
    <row r="978">
      <c r="C978" s="14"/>
    </row>
    <row r="979">
      <c r="C979" s="14"/>
    </row>
    <row r="980">
      <c r="C980" s="14"/>
    </row>
    <row r="981">
      <c r="C981" s="14"/>
    </row>
    <row r="982">
      <c r="C982" s="14"/>
    </row>
    <row r="983">
      <c r="C983" s="14"/>
    </row>
    <row r="984">
      <c r="C984" s="14"/>
    </row>
    <row r="985">
      <c r="C985" s="14"/>
    </row>
    <row r="986">
      <c r="C986" s="14"/>
    </row>
    <row r="987">
      <c r="C987" s="14"/>
    </row>
    <row r="988">
      <c r="C988" s="14"/>
    </row>
    <row r="989">
      <c r="C989" s="14"/>
    </row>
    <row r="990">
      <c r="C990" s="14"/>
    </row>
    <row r="991">
      <c r="C991" s="14"/>
    </row>
    <row r="992">
      <c r="C992" s="14"/>
    </row>
    <row r="993">
      <c r="C993" s="14"/>
    </row>
    <row r="994">
      <c r="C994" s="14"/>
    </row>
    <row r="995">
      <c r="C995" s="14"/>
    </row>
    <row r="996">
      <c r="C996" s="14"/>
    </row>
    <row r="997">
      <c r="C997" s="14"/>
    </row>
    <row r="998">
      <c r="C998" s="14"/>
    </row>
    <row r="999">
      <c r="C999" s="14"/>
    </row>
    <row r="1000">
      <c r="C1000" s="14"/>
    </row>
  </sheetData>
  <hyperlinks>
    <hyperlink r:id="rId1" ref="A9"/>
  </hyperlin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 t="s">
        <v>32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</row>
    <row r="2">
      <c r="A2" s="3" t="s">
        <v>33</v>
      </c>
      <c r="B2" s="3" t="s">
        <v>34</v>
      </c>
      <c r="C2" s="3"/>
      <c r="D2" s="3"/>
      <c r="E2" s="3"/>
      <c r="F2" s="3" t="s">
        <v>35</v>
      </c>
      <c r="G2" s="3"/>
      <c r="H2" s="3"/>
      <c r="I2" s="3"/>
      <c r="J2" s="3" t="s">
        <v>36</v>
      </c>
      <c r="K2" s="3"/>
      <c r="L2" s="3"/>
      <c r="M2" s="3"/>
      <c r="N2" s="3" t="s">
        <v>37</v>
      </c>
    </row>
    <row r="3">
      <c r="A3" s="3"/>
      <c r="B3" s="3">
        <v>2013.0</v>
      </c>
      <c r="C3" s="3">
        <v>2016.0</v>
      </c>
      <c r="D3" s="3">
        <v>2019.0</v>
      </c>
      <c r="E3" s="3">
        <v>2022.0</v>
      </c>
      <c r="F3" s="3">
        <v>2013.0</v>
      </c>
      <c r="G3" s="3">
        <v>2016.0</v>
      </c>
      <c r="H3" s="3">
        <v>2019.0</v>
      </c>
      <c r="I3" s="3">
        <v>2022.0</v>
      </c>
      <c r="J3" s="3">
        <v>2013.0</v>
      </c>
      <c r="K3" s="3">
        <v>2016.0</v>
      </c>
      <c r="L3" s="3">
        <v>2019.0</v>
      </c>
      <c r="M3" s="3">
        <v>2022.0</v>
      </c>
      <c r="N3" s="3">
        <v>2013.0</v>
      </c>
      <c r="O3" s="3">
        <v>2016.0</v>
      </c>
      <c r="P3" s="3">
        <v>2019.0</v>
      </c>
      <c r="Q3" s="3">
        <v>2022.0</v>
      </c>
    </row>
    <row r="4">
      <c r="A4" s="3" t="s">
        <v>38</v>
      </c>
      <c r="B4" s="3">
        <v>77827.0</v>
      </c>
      <c r="C4" s="3">
        <v>92509.0</v>
      </c>
      <c r="D4" s="3">
        <v>85769.0</v>
      </c>
      <c r="E4" s="3">
        <v>106439.0</v>
      </c>
      <c r="F4" s="3">
        <v>5.2014648E7</v>
      </c>
      <c r="G4" s="3">
        <v>5.4363844E7</v>
      </c>
      <c r="H4" s="3">
        <v>6.1843771E7</v>
      </c>
      <c r="I4" s="3">
        <v>6.5831806E7</v>
      </c>
      <c r="J4" s="3">
        <v>4.0214324E7</v>
      </c>
      <c r="K4" s="3">
        <v>4.4549848E7</v>
      </c>
      <c r="L4" s="3">
        <v>4.6937139E7</v>
      </c>
      <c r="M4" s="3">
        <v>5.5357093E7</v>
      </c>
      <c r="N4" s="3">
        <v>77.31</v>
      </c>
      <c r="O4" s="3">
        <v>81.95</v>
      </c>
      <c r="P4" s="3">
        <v>75.9</v>
      </c>
      <c r="Q4" s="3">
        <v>84.09</v>
      </c>
    </row>
    <row r="5" hidden="1">
      <c r="A5" s="3" t="s">
        <v>39</v>
      </c>
      <c r="B5" s="3">
        <v>7509.0</v>
      </c>
      <c r="C5" s="3">
        <v>9271.0</v>
      </c>
      <c r="D5" s="3">
        <v>8298.0</v>
      </c>
      <c r="E5" s="3">
        <v>10538.0</v>
      </c>
      <c r="F5" s="3">
        <v>5995904.0</v>
      </c>
      <c r="G5" s="3">
        <v>6253249.0</v>
      </c>
      <c r="H5" s="3">
        <v>7074603.0</v>
      </c>
      <c r="I5" s="3">
        <v>7322361.0</v>
      </c>
      <c r="J5" s="3">
        <v>4220571.0</v>
      </c>
      <c r="K5" s="3">
        <v>4916589.0</v>
      </c>
      <c r="L5" s="3">
        <v>4915075.0</v>
      </c>
      <c r="M5" s="3">
        <v>5962693.0</v>
      </c>
      <c r="N5" s="3">
        <v>70.39</v>
      </c>
      <c r="O5" s="3">
        <v>78.62</v>
      </c>
      <c r="P5" s="3">
        <v>69.47</v>
      </c>
      <c r="Q5" s="3">
        <v>81.43</v>
      </c>
    </row>
    <row r="6" hidden="1">
      <c r="A6" s="3" t="s">
        <v>40</v>
      </c>
      <c r="B6" s="3">
        <v>1828.0</v>
      </c>
      <c r="C6" s="3">
        <v>1983.0</v>
      </c>
      <c r="D6" s="3">
        <v>1861.0</v>
      </c>
      <c r="E6" s="3">
        <v>2153.0</v>
      </c>
      <c r="F6" s="3">
        <v>924751.0</v>
      </c>
      <c r="G6" s="3">
        <v>906162.0</v>
      </c>
      <c r="H6" s="3">
        <v>1013418.0</v>
      </c>
      <c r="I6" s="3">
        <v>1077900.0</v>
      </c>
      <c r="J6" s="3">
        <v>718902.0</v>
      </c>
      <c r="K6" s="3">
        <v>755772.0</v>
      </c>
      <c r="L6" s="3">
        <v>795792.0</v>
      </c>
      <c r="M6" s="3">
        <v>921227.0</v>
      </c>
      <c r="N6" s="3">
        <v>77.74</v>
      </c>
      <c r="O6" s="3">
        <v>83.4</v>
      </c>
      <c r="P6" s="3">
        <v>78.53</v>
      </c>
      <c r="Q6" s="3">
        <v>85.46</v>
      </c>
    </row>
    <row r="7" hidden="1">
      <c r="A7" s="3" t="s">
        <v>41</v>
      </c>
      <c r="B7" s="3">
        <v>4623.0</v>
      </c>
      <c r="C7" s="3">
        <v>5376.0</v>
      </c>
      <c r="D7" s="3">
        <v>4996.0</v>
      </c>
      <c r="E7" s="3">
        <v>6127.0</v>
      </c>
      <c r="F7" s="3">
        <v>2865115.0</v>
      </c>
      <c r="G7" s="3">
        <v>2950775.0</v>
      </c>
      <c r="H7" s="3">
        <v>3331404.0</v>
      </c>
      <c r="I7" s="3">
        <v>3546764.0</v>
      </c>
      <c r="J7" s="3">
        <v>2364308.0</v>
      </c>
      <c r="K7" s="3">
        <v>2525358.0</v>
      </c>
      <c r="L7" s="3">
        <v>2696074.0</v>
      </c>
      <c r="M7" s="3">
        <v>3104841.0</v>
      </c>
      <c r="N7" s="3">
        <v>82.52</v>
      </c>
      <c r="O7" s="3">
        <v>85.58</v>
      </c>
      <c r="P7" s="3">
        <v>80.93</v>
      </c>
      <c r="Q7" s="3">
        <v>87.54</v>
      </c>
    </row>
    <row r="8" hidden="1">
      <c r="A8" s="3" t="s">
        <v>42</v>
      </c>
      <c r="B8" s="3">
        <v>3114.0</v>
      </c>
      <c r="C8" s="3">
        <v>3594.0</v>
      </c>
      <c r="D8" s="3">
        <v>3384.0</v>
      </c>
      <c r="E8" s="3">
        <v>4054.0</v>
      </c>
      <c r="F8" s="3">
        <v>1871822.0</v>
      </c>
      <c r="G8" s="3">
        <v>1920952.0</v>
      </c>
      <c r="H8" s="3">
        <v>2194418.0</v>
      </c>
      <c r="I8" s="3">
        <v>2312797.0</v>
      </c>
      <c r="J8" s="3">
        <v>1475903.0</v>
      </c>
      <c r="K8" s="3">
        <v>1594813.0</v>
      </c>
      <c r="L8" s="3">
        <v>1695403.0</v>
      </c>
      <c r="M8" s="3">
        <v>1951482.0</v>
      </c>
      <c r="N8" s="3">
        <v>78.85</v>
      </c>
      <c r="O8" s="3">
        <v>83.02</v>
      </c>
      <c r="P8" s="3">
        <v>77.26</v>
      </c>
      <c r="Q8" s="3">
        <v>84.38</v>
      </c>
    </row>
    <row r="9" hidden="1">
      <c r="A9" s="3" t="s">
        <v>43</v>
      </c>
      <c r="B9" s="3">
        <v>7903.0</v>
      </c>
      <c r="C9" s="3">
        <v>9511.0</v>
      </c>
      <c r="D9" s="3">
        <v>8654.0</v>
      </c>
      <c r="E9" s="3">
        <v>10993.0</v>
      </c>
      <c r="F9" s="3">
        <v>5822678.0</v>
      </c>
      <c r="G9" s="3">
        <v>6056392.0</v>
      </c>
      <c r="H9" s="3">
        <v>6829661.0</v>
      </c>
      <c r="I9" s="3">
        <v>7289791.0</v>
      </c>
      <c r="J9" s="3">
        <v>4544930.0</v>
      </c>
      <c r="K9" s="3">
        <v>4989374.0</v>
      </c>
      <c r="L9" s="3">
        <v>5265335.0</v>
      </c>
      <c r="M9" s="3">
        <v>6304414.0</v>
      </c>
      <c r="N9" s="3">
        <v>78.06</v>
      </c>
      <c r="O9" s="3">
        <v>82.38</v>
      </c>
      <c r="P9" s="3">
        <v>77.1</v>
      </c>
      <c r="Q9" s="3">
        <v>86.48</v>
      </c>
    </row>
    <row r="10" hidden="1">
      <c r="A10" s="3" t="s">
        <v>44</v>
      </c>
      <c r="B10" s="3">
        <v>9858.0</v>
      </c>
      <c r="C10" s="3">
        <v>12074.0</v>
      </c>
      <c r="D10" s="3">
        <v>11097.0</v>
      </c>
      <c r="E10" s="3">
        <v>13965.0</v>
      </c>
      <c r="F10" s="3">
        <v>7205067.0</v>
      </c>
      <c r="G10" s="3">
        <v>7619272.0</v>
      </c>
      <c r="H10" s="3">
        <v>8674351.0</v>
      </c>
      <c r="I10" s="3">
        <v>9193096.0</v>
      </c>
      <c r="J10" s="3">
        <v>5197200.0</v>
      </c>
      <c r="K10" s="3">
        <v>5928566.0</v>
      </c>
      <c r="L10" s="3">
        <v>6180510.0</v>
      </c>
      <c r="M10" s="3">
        <v>7635624.0</v>
      </c>
      <c r="N10" s="3">
        <v>72.13</v>
      </c>
      <c r="O10" s="3">
        <v>77.81</v>
      </c>
      <c r="P10" s="3">
        <v>71.25</v>
      </c>
      <c r="Q10" s="3">
        <v>83.06</v>
      </c>
    </row>
    <row r="11" hidden="1">
      <c r="A11" s="3" t="s">
        <v>45</v>
      </c>
      <c r="B11" s="3">
        <v>2421.0</v>
      </c>
      <c r="C11" s="3">
        <v>2832.0</v>
      </c>
      <c r="D11" s="3">
        <v>2679.0</v>
      </c>
      <c r="E11" s="3">
        <v>3348.0</v>
      </c>
      <c r="F11" s="3">
        <v>1552520.0</v>
      </c>
      <c r="G11" s="3">
        <v>1589326.0</v>
      </c>
      <c r="H11" s="3">
        <v>1831328.0</v>
      </c>
      <c r="I11" s="3">
        <v>1991599.0</v>
      </c>
      <c r="J11" s="3">
        <v>1198683.0</v>
      </c>
      <c r="K11" s="3">
        <v>1294666.0</v>
      </c>
      <c r="L11" s="3">
        <v>1391895.0</v>
      </c>
      <c r="M11" s="3">
        <v>1670695.0</v>
      </c>
      <c r="N11" s="3">
        <v>77.21</v>
      </c>
      <c r="O11" s="3">
        <v>81.46</v>
      </c>
      <c r="P11" s="3">
        <v>76.0</v>
      </c>
      <c r="Q11" s="3">
        <v>83.89</v>
      </c>
    </row>
    <row r="12" hidden="1">
      <c r="A12" s="3" t="s">
        <v>46</v>
      </c>
      <c r="B12" s="3">
        <v>4880.0</v>
      </c>
      <c r="C12" s="3">
        <v>5695.0</v>
      </c>
      <c r="D12" s="3">
        <v>5411.0</v>
      </c>
      <c r="E12" s="3">
        <v>6656.0</v>
      </c>
      <c r="F12" s="3">
        <v>3037795.0</v>
      </c>
      <c r="G12" s="3">
        <v>3121662.0</v>
      </c>
      <c r="H12" s="3">
        <v>3647723.0</v>
      </c>
      <c r="I12" s="3">
        <v>3910261.0</v>
      </c>
      <c r="J12" s="3">
        <v>2489711.0</v>
      </c>
      <c r="K12" s="3">
        <v>2644179.0</v>
      </c>
      <c r="L12" s="3">
        <v>2908307.0</v>
      </c>
      <c r="M12" s="3">
        <v>3366689.0</v>
      </c>
      <c r="N12" s="3">
        <v>81.96</v>
      </c>
      <c r="O12" s="3">
        <v>84.7</v>
      </c>
      <c r="P12" s="3">
        <v>79.73</v>
      </c>
      <c r="Q12" s="3">
        <v>86.1</v>
      </c>
    </row>
    <row r="13" hidden="1">
      <c r="A13" s="3" t="s">
        <v>47</v>
      </c>
      <c r="B13" s="3">
        <v>6465.0</v>
      </c>
      <c r="C13" s="3">
        <v>7658.0</v>
      </c>
      <c r="D13" s="3">
        <v>7109.0</v>
      </c>
      <c r="E13" s="3">
        <v>8570.0</v>
      </c>
      <c r="F13" s="3">
        <v>4049640.0</v>
      </c>
      <c r="G13" s="3">
        <v>4242153.0</v>
      </c>
      <c r="H13" s="3">
        <v>4808839.0</v>
      </c>
      <c r="I13" s="3">
        <v>5026482.0</v>
      </c>
      <c r="J13" s="3">
        <v>3318423.0</v>
      </c>
      <c r="K13" s="3">
        <v>3583332.0</v>
      </c>
      <c r="L13" s="3">
        <v>3750974.0</v>
      </c>
      <c r="M13" s="3">
        <v>4282256.0</v>
      </c>
      <c r="N13" s="3">
        <v>81.94</v>
      </c>
      <c r="O13" s="3">
        <v>84.47</v>
      </c>
      <c r="P13" s="3">
        <v>78.0</v>
      </c>
      <c r="Q13" s="3">
        <v>85.19</v>
      </c>
    </row>
    <row r="14" hidden="1">
      <c r="A14" s="3" t="s">
        <v>48</v>
      </c>
      <c r="B14" s="3">
        <v>5742.0</v>
      </c>
      <c r="C14" s="3">
        <v>7048.0</v>
      </c>
      <c r="D14" s="3">
        <v>6503.0</v>
      </c>
      <c r="E14" s="3">
        <v>8129.0</v>
      </c>
      <c r="F14" s="3">
        <v>4114046.0</v>
      </c>
      <c r="G14" s="3">
        <v>4375756.0</v>
      </c>
      <c r="H14" s="3">
        <v>4946353.0</v>
      </c>
      <c r="I14" s="3">
        <v>5249066.0</v>
      </c>
      <c r="J14" s="3">
        <v>3358840.0</v>
      </c>
      <c r="K14" s="3">
        <v>3726874.0</v>
      </c>
      <c r="L14" s="3">
        <v>3941926.0</v>
      </c>
      <c r="M14" s="3">
        <v>4553713.0</v>
      </c>
      <c r="N14" s="3">
        <v>81.64</v>
      </c>
      <c r="O14" s="3">
        <v>85.17</v>
      </c>
      <c r="P14" s="3">
        <v>79.69</v>
      </c>
      <c r="Q14" s="3">
        <v>86.75</v>
      </c>
    </row>
    <row r="15" hidden="1">
      <c r="A15" s="3" t="s">
        <v>49</v>
      </c>
      <c r="B15" s="3">
        <v>5173.0</v>
      </c>
      <c r="C15" s="3">
        <v>5754.0</v>
      </c>
      <c r="D15" s="3">
        <v>5503.0</v>
      </c>
      <c r="E15" s="3">
        <v>6271.0</v>
      </c>
      <c r="F15" s="3">
        <v>2576229.0</v>
      </c>
      <c r="G15" s="3">
        <v>2698880.0</v>
      </c>
      <c r="H15" s="3">
        <v>3051649.0</v>
      </c>
      <c r="I15" s="3">
        <v>3166260.0</v>
      </c>
      <c r="J15" s="3">
        <v>2146545.0</v>
      </c>
      <c r="K15" s="3">
        <v>2310252.0</v>
      </c>
      <c r="L15" s="3">
        <v>2436166.0</v>
      </c>
      <c r="M15" s="3">
        <v>2706476.0</v>
      </c>
      <c r="N15" s="3">
        <v>83.32</v>
      </c>
      <c r="O15" s="3">
        <v>85.6</v>
      </c>
      <c r="P15" s="3">
        <v>79.83</v>
      </c>
      <c r="Q15" s="3">
        <v>85.48</v>
      </c>
    </row>
    <row r="16" hidden="1">
      <c r="A16" s="3" t="s">
        <v>50</v>
      </c>
      <c r="B16" s="3">
        <v>2968.0</v>
      </c>
      <c r="C16" s="3">
        <v>3410.0</v>
      </c>
      <c r="D16" s="3">
        <v>3143.0</v>
      </c>
      <c r="E16" s="3">
        <v>3831.0</v>
      </c>
      <c r="F16" s="3">
        <v>1981427.0</v>
      </c>
      <c r="G16" s="3">
        <v>1931795.0</v>
      </c>
      <c r="H16" s="3">
        <v>2193033.0</v>
      </c>
      <c r="I16" s="3">
        <v>2298930.0</v>
      </c>
      <c r="J16" s="3">
        <v>1439050.0</v>
      </c>
      <c r="K16" s="3">
        <v>1498007.0</v>
      </c>
      <c r="L16" s="3">
        <v>1636148.0</v>
      </c>
      <c r="M16" s="3">
        <v>1877471.0</v>
      </c>
      <c r="N16" s="3">
        <v>72.63</v>
      </c>
      <c r="O16" s="3">
        <v>77.54</v>
      </c>
      <c r="P16" s="3">
        <v>74.61</v>
      </c>
      <c r="Q16" s="3">
        <v>81.67</v>
      </c>
    </row>
    <row r="17" hidden="1">
      <c r="A17" s="3" t="s">
        <v>51</v>
      </c>
      <c r="B17" s="3">
        <v>3701.0</v>
      </c>
      <c r="C17" s="3">
        <v>4341.0</v>
      </c>
      <c r="D17" s="3">
        <v>4037.0</v>
      </c>
      <c r="E17" s="3">
        <v>4986.0</v>
      </c>
      <c r="F17" s="3">
        <v>2458123.0</v>
      </c>
      <c r="G17" s="3">
        <v>2541331.0</v>
      </c>
      <c r="H17" s="3">
        <v>2855792.0</v>
      </c>
      <c r="I17" s="3">
        <v>3060485.0</v>
      </c>
      <c r="J17" s="3">
        <v>1948303.0</v>
      </c>
      <c r="K17" s="3">
        <v>2108036.0</v>
      </c>
      <c r="L17" s="3">
        <v>2250429.0</v>
      </c>
      <c r="M17" s="3">
        <v>2620144.0</v>
      </c>
      <c r="N17" s="3">
        <v>79.26</v>
      </c>
      <c r="O17" s="3">
        <v>82.95</v>
      </c>
      <c r="P17" s="3">
        <v>78.8</v>
      </c>
      <c r="Q17" s="3">
        <v>85.61</v>
      </c>
    </row>
    <row r="18" hidden="1">
      <c r="A18" s="3" t="s">
        <v>52</v>
      </c>
      <c r="B18" s="3">
        <v>3501.0</v>
      </c>
      <c r="C18" s="3">
        <v>4108.0</v>
      </c>
      <c r="D18" s="3">
        <v>3777.0</v>
      </c>
      <c r="E18" s="3">
        <v>4834.0</v>
      </c>
      <c r="F18" s="3">
        <v>2660156.0</v>
      </c>
      <c r="G18" s="3">
        <v>2659704.0</v>
      </c>
      <c r="H18" s="3">
        <v>3026393.0</v>
      </c>
      <c r="I18" s="3">
        <v>3236251.0</v>
      </c>
      <c r="J18" s="3">
        <v>1886823.0</v>
      </c>
      <c r="K18" s="3">
        <v>2154052.0</v>
      </c>
      <c r="L18" s="3">
        <v>2222299.0</v>
      </c>
      <c r="M18" s="3">
        <v>2628997.0</v>
      </c>
      <c r="N18" s="3">
        <v>70.93</v>
      </c>
      <c r="O18" s="3">
        <v>80.99</v>
      </c>
      <c r="P18" s="3">
        <v>73.43</v>
      </c>
      <c r="Q18" s="3">
        <v>81.24</v>
      </c>
    </row>
    <row r="19" hidden="1">
      <c r="A19" s="3" t="s">
        <v>53</v>
      </c>
      <c r="B19" s="3">
        <v>2807.0</v>
      </c>
      <c r="C19" s="3">
        <v>3438.0</v>
      </c>
      <c r="D19" s="3">
        <v>3207.0</v>
      </c>
      <c r="E19" s="3">
        <v>4074.0</v>
      </c>
      <c r="F19" s="3">
        <v>1985062.0</v>
      </c>
      <c r="G19" s="3">
        <v>2086112.0</v>
      </c>
      <c r="H19" s="3">
        <v>2431265.0</v>
      </c>
      <c r="I19" s="3">
        <v>2606492.0</v>
      </c>
      <c r="J19" s="3">
        <v>1501294.0</v>
      </c>
      <c r="K19" s="3">
        <v>1669116.0</v>
      </c>
      <c r="L19" s="3">
        <v>1823176.0</v>
      </c>
      <c r="M19" s="3">
        <v>2102493.0</v>
      </c>
      <c r="N19" s="3">
        <v>75.63</v>
      </c>
      <c r="O19" s="3">
        <v>80.01</v>
      </c>
      <c r="P19" s="3">
        <v>74.99</v>
      </c>
      <c r="Q19" s="3">
        <v>80.66</v>
      </c>
    </row>
    <row r="20" hidden="1">
      <c r="A20" s="3" t="s">
        <v>54</v>
      </c>
      <c r="B20" s="3">
        <v>2212.0</v>
      </c>
      <c r="C20" s="3">
        <v>2669.0</v>
      </c>
      <c r="D20" s="3">
        <v>2486.0</v>
      </c>
      <c r="E20" s="3">
        <v>3079.0</v>
      </c>
      <c r="F20" s="3">
        <v>1445729.0</v>
      </c>
      <c r="G20" s="3">
        <v>1547093.0</v>
      </c>
      <c r="H20" s="3">
        <v>1760582.0</v>
      </c>
      <c r="I20" s="3">
        <v>1868798.0</v>
      </c>
      <c r="J20" s="3">
        <v>1196095.0</v>
      </c>
      <c r="K20" s="3">
        <v>1318722.0</v>
      </c>
      <c r="L20" s="3">
        <v>1420304.0</v>
      </c>
      <c r="M20" s="3">
        <v>1594734.0</v>
      </c>
      <c r="N20" s="3">
        <v>82.73</v>
      </c>
      <c r="O20" s="3">
        <v>85.24</v>
      </c>
      <c r="P20" s="3">
        <v>80.67</v>
      </c>
      <c r="Q20" s="3">
        <v>85.33</v>
      </c>
    </row>
    <row r="21" hidden="1">
      <c r="A21" s="3" t="s">
        <v>55</v>
      </c>
      <c r="B21" s="3">
        <v>3122.0</v>
      </c>
      <c r="C21" s="3">
        <v>3747.0</v>
      </c>
      <c r="D21" s="3">
        <v>3624.0</v>
      </c>
      <c r="E21" s="3">
        <v>4831.0</v>
      </c>
      <c r="F21" s="3">
        <v>1468584.0</v>
      </c>
      <c r="G21" s="3">
        <v>1863230.0</v>
      </c>
      <c r="H21" s="3">
        <v>2172959.0</v>
      </c>
      <c r="I21" s="3">
        <v>2674473.0</v>
      </c>
      <c r="J21" s="3">
        <v>1208743.0</v>
      </c>
      <c r="K21" s="3">
        <v>1532140.0</v>
      </c>
      <c r="L21" s="3">
        <v>1607326.0</v>
      </c>
      <c r="M21" s="3">
        <v>2073144.0</v>
      </c>
      <c r="N21" s="3">
        <v>82.31</v>
      </c>
      <c r="O21" s="3">
        <v>82.23</v>
      </c>
      <c r="P21" s="3">
        <v>73.97</v>
      </c>
      <c r="Q21" s="3">
        <v>77.52</v>
      </c>
    </row>
    <row r="22">
      <c r="A22" s="3" t="s">
        <v>56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/>
      <c r="B1" s="3"/>
      <c r="C1" s="3">
        <v>2020.0</v>
      </c>
      <c r="D1" s="3">
        <v>2021.0</v>
      </c>
      <c r="E1" s="3">
        <v>2022.0</v>
      </c>
      <c r="F1" s="3">
        <v>2023.0</v>
      </c>
      <c r="G1" s="3">
        <v>2024.0</v>
      </c>
      <c r="H1" s="3">
        <v>2025.0</v>
      </c>
      <c r="I1" s="3">
        <v>2026.0</v>
      </c>
      <c r="J1" s="3">
        <v>2027.0</v>
      </c>
      <c r="K1" s="3">
        <v>2028.0</v>
      </c>
      <c r="L1" s="3">
        <v>2029.0</v>
      </c>
      <c r="M1" s="3">
        <v>2030.0</v>
      </c>
    </row>
    <row r="2">
      <c r="A2" s="7" t="s">
        <v>57</v>
      </c>
      <c r="B2" s="7" t="s">
        <v>58</v>
      </c>
      <c r="C2" s="7">
        <v>109203.0</v>
      </c>
      <c r="D2" s="7">
        <v>110082.0</v>
      </c>
      <c r="E2" s="7">
        <v>110940.0</v>
      </c>
      <c r="F2" s="7">
        <v>111912.0</v>
      </c>
      <c r="G2" s="7">
        <v>112885.0</v>
      </c>
      <c r="H2" s="7">
        <v>113863.0</v>
      </c>
      <c r="I2" s="7">
        <v>114849.0</v>
      </c>
      <c r="J2" s="7">
        <v>115846.0</v>
      </c>
      <c r="K2" s="7">
        <v>116850.0</v>
      </c>
      <c r="L2" s="7">
        <v>117860.0</v>
      </c>
      <c r="M2" s="7">
        <v>118874.0</v>
      </c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</row>
    <row r="3">
      <c r="A3" s="3"/>
      <c r="B3" s="3" t="s">
        <v>59</v>
      </c>
      <c r="C3" s="3">
        <v>11087.0</v>
      </c>
      <c r="D3" s="3">
        <v>10529.0</v>
      </c>
      <c r="E3" s="3">
        <v>9938.0</v>
      </c>
      <c r="F3" s="3">
        <v>9388.0</v>
      </c>
      <c r="G3" s="3">
        <v>8894.0</v>
      </c>
      <c r="H3" s="3">
        <v>8487.0</v>
      </c>
      <c r="I3" s="3">
        <v>8518.0</v>
      </c>
      <c r="J3" s="3">
        <v>8613.0</v>
      </c>
      <c r="K3" s="17">
        <v>8706.0</v>
      </c>
      <c r="L3" s="3">
        <v>8802.0</v>
      </c>
      <c r="M3" s="3">
        <v>8901.0</v>
      </c>
    </row>
    <row r="4">
      <c r="A4" s="3"/>
      <c r="B4" s="18">
        <v>45786.0</v>
      </c>
      <c r="C4" s="3">
        <v>11288.0</v>
      </c>
      <c r="D4" s="3">
        <v>11283.0</v>
      </c>
      <c r="E4" s="3">
        <v>11269.0</v>
      </c>
      <c r="F4" s="3">
        <v>11237.0</v>
      </c>
      <c r="G4" s="3">
        <v>11166.0</v>
      </c>
      <c r="H4" s="3">
        <v>11026.0</v>
      </c>
      <c r="I4" s="3">
        <v>10470.0</v>
      </c>
      <c r="J4" s="3">
        <v>9881.0</v>
      </c>
      <c r="K4" s="17">
        <v>9334.0</v>
      </c>
      <c r="L4" s="3">
        <v>8843.0</v>
      </c>
      <c r="M4" s="3">
        <v>8437.0</v>
      </c>
    </row>
    <row r="5">
      <c r="A5" s="3"/>
      <c r="B5" s="18">
        <v>45944.0</v>
      </c>
      <c r="C5" s="3">
        <v>11109.0</v>
      </c>
      <c r="D5" s="3">
        <v>11174.0</v>
      </c>
      <c r="E5" s="3">
        <v>11215.0</v>
      </c>
      <c r="F5" s="3">
        <v>11235.0</v>
      </c>
      <c r="G5" s="3">
        <v>11242.0</v>
      </c>
      <c r="H5" s="3">
        <v>11242.0</v>
      </c>
      <c r="I5" s="3">
        <v>11237.0</v>
      </c>
      <c r="J5" s="3">
        <v>11224.0</v>
      </c>
      <c r="K5" s="17">
        <v>11192.0</v>
      </c>
      <c r="L5" s="3">
        <v>11122.0</v>
      </c>
      <c r="M5" s="3">
        <v>10983.0</v>
      </c>
    </row>
    <row r="6">
      <c r="A6" s="3"/>
      <c r="B6" s="3" t="s">
        <v>60</v>
      </c>
      <c r="C6" s="3">
        <v>10499.0</v>
      </c>
      <c r="D6" s="3">
        <v>10603.0</v>
      </c>
      <c r="E6" s="3">
        <v>10722.0</v>
      </c>
      <c r="F6" s="3">
        <v>10845.0</v>
      </c>
      <c r="G6" s="3">
        <v>10957.0</v>
      </c>
      <c r="H6" s="3">
        <v>11048.0</v>
      </c>
      <c r="I6" s="3">
        <v>11113.0</v>
      </c>
      <c r="J6" s="3">
        <v>11154.0</v>
      </c>
      <c r="K6" s="17">
        <v>11175.0</v>
      </c>
      <c r="L6" s="3">
        <v>11182.0</v>
      </c>
      <c r="M6" s="3">
        <v>11183.0</v>
      </c>
    </row>
    <row r="7">
      <c r="A7" s="3"/>
      <c r="B7" s="3" t="s">
        <v>61</v>
      </c>
      <c r="C7" s="3">
        <v>10040.0</v>
      </c>
      <c r="D7" s="3">
        <v>10130.0</v>
      </c>
      <c r="E7" s="3">
        <v>10202.0</v>
      </c>
      <c r="F7" s="3">
        <v>10267.0</v>
      </c>
      <c r="G7" s="3">
        <v>10337.0</v>
      </c>
      <c r="H7" s="3">
        <v>10422.0</v>
      </c>
      <c r="I7" s="3">
        <v>10526.0</v>
      </c>
      <c r="J7" s="3">
        <v>10645.0</v>
      </c>
      <c r="K7" s="3">
        <v>10767.0</v>
      </c>
      <c r="L7" s="3">
        <v>10880.0</v>
      </c>
      <c r="M7" s="3">
        <v>10971.0</v>
      </c>
    </row>
    <row r="8">
      <c r="A8" s="3"/>
      <c r="B8" s="3" t="s">
        <v>62</v>
      </c>
      <c r="C8" s="3">
        <v>9244.0</v>
      </c>
      <c r="D8" s="3">
        <v>9410.0</v>
      </c>
      <c r="E8" s="3">
        <v>9566.0</v>
      </c>
      <c r="F8" s="3">
        <v>9709.0</v>
      </c>
      <c r="G8" s="3">
        <v>9836.0</v>
      </c>
      <c r="H8" s="3">
        <v>9946.0</v>
      </c>
      <c r="I8" s="3">
        <v>10037.0</v>
      </c>
      <c r="J8" s="3">
        <v>10110.0</v>
      </c>
      <c r="K8" s="3">
        <v>10175.0</v>
      </c>
      <c r="L8" s="3">
        <v>10245.0</v>
      </c>
      <c r="M8" s="3">
        <v>10331.0</v>
      </c>
    </row>
    <row r="9">
      <c r="A9" s="3"/>
      <c r="B9" s="3" t="s">
        <v>63</v>
      </c>
      <c r="C9" s="3">
        <v>8184.0</v>
      </c>
      <c r="D9" s="3">
        <v>8372.0</v>
      </c>
      <c r="E9" s="3">
        <v>8565.0</v>
      </c>
      <c r="F9" s="3">
        <v>8760.0</v>
      </c>
      <c r="G9" s="3">
        <v>8949.0</v>
      </c>
      <c r="H9" s="3">
        <v>9128.0</v>
      </c>
      <c r="I9" s="3">
        <v>9295.0</v>
      </c>
      <c r="J9" s="3">
        <v>9452.0</v>
      </c>
      <c r="K9" s="3">
        <v>9595.0</v>
      </c>
      <c r="L9" s="3">
        <v>9722.0</v>
      </c>
      <c r="M9" s="3">
        <v>9833.0</v>
      </c>
    </row>
    <row r="10">
      <c r="A10" s="3"/>
      <c r="B10" s="3" t="s">
        <v>64</v>
      </c>
      <c r="C10" s="3">
        <v>7233.0</v>
      </c>
      <c r="D10" s="3">
        <v>7371.0</v>
      </c>
      <c r="E10" s="3">
        <v>7525.0</v>
      </c>
      <c r="F10" s="3">
        <v>7693.0</v>
      </c>
      <c r="G10" s="3">
        <v>7871.0</v>
      </c>
      <c r="H10" s="3">
        <v>8054.0</v>
      </c>
      <c r="I10" s="3">
        <v>8242.0</v>
      </c>
      <c r="J10" s="3">
        <v>8436.0</v>
      </c>
      <c r="K10" s="3">
        <v>8631.0</v>
      </c>
      <c r="L10" s="3">
        <v>8819.0</v>
      </c>
      <c r="M10" s="3">
        <v>8998.0</v>
      </c>
    </row>
    <row r="11">
      <c r="A11" s="3"/>
      <c r="B11" s="3" t="s">
        <v>65</v>
      </c>
      <c r="C11" s="3">
        <v>6539.0</v>
      </c>
      <c r="D11" s="3">
        <v>6657.0</v>
      </c>
      <c r="E11" s="3">
        <v>6761.0</v>
      </c>
      <c r="F11" s="3">
        <v>6859.0</v>
      </c>
      <c r="G11" s="3">
        <v>6964.0</v>
      </c>
      <c r="H11" s="3">
        <v>7087.0</v>
      </c>
      <c r="I11" s="3">
        <v>7227.0</v>
      </c>
      <c r="J11" s="3">
        <v>7382.0</v>
      </c>
      <c r="K11" s="3">
        <v>7550.0</v>
      </c>
      <c r="L11" s="3">
        <v>7727.0</v>
      </c>
      <c r="M11" s="3">
        <v>7910.0</v>
      </c>
    </row>
    <row r="12">
      <c r="A12" s="3"/>
      <c r="B12" s="3" t="s">
        <v>66</v>
      </c>
      <c r="C12" s="3">
        <v>5607.0</v>
      </c>
      <c r="D12" s="3">
        <v>5737.0</v>
      </c>
      <c r="E12" s="3">
        <v>5889.0</v>
      </c>
      <c r="F12" s="3">
        <v>6056.0</v>
      </c>
      <c r="G12" s="3">
        <v>6217.0</v>
      </c>
      <c r="H12" s="3">
        <v>6360.0</v>
      </c>
      <c r="I12" s="3">
        <v>6482.0</v>
      </c>
      <c r="J12" s="3">
        <v>6588.0</v>
      </c>
      <c r="K12" s="3">
        <v>6687.0</v>
      </c>
      <c r="L12" s="3">
        <v>6793.0</v>
      </c>
      <c r="M12" s="3">
        <v>6915.0</v>
      </c>
    </row>
    <row r="13">
      <c r="A13" s="3"/>
      <c r="B13" s="3" t="s">
        <v>67</v>
      </c>
      <c r="C13" s="3">
        <v>4972.0</v>
      </c>
      <c r="D13" s="3">
        <v>5051.0</v>
      </c>
      <c r="E13" s="3">
        <v>5120.0</v>
      </c>
      <c r="F13" s="3">
        <v>5193.0</v>
      </c>
      <c r="G13" s="3">
        <v>5278.0</v>
      </c>
      <c r="H13" s="3">
        <v>5386.0</v>
      </c>
      <c r="I13" s="3">
        <v>5520.0</v>
      </c>
      <c r="J13" s="3">
        <v>5674.0</v>
      </c>
      <c r="K13" s="3">
        <v>5839.0</v>
      </c>
      <c r="L13" s="3">
        <v>5998.0</v>
      </c>
      <c r="M13" s="3">
        <v>6140.0</v>
      </c>
    </row>
    <row r="14">
      <c r="A14" s="3"/>
      <c r="B14" s="3" t="s">
        <v>68</v>
      </c>
      <c r="C14" s="3">
        <v>4144.0</v>
      </c>
      <c r="D14" s="3">
        <v>4242.0</v>
      </c>
      <c r="E14" s="3">
        <v>4353.0</v>
      </c>
      <c r="F14" s="3">
        <v>4475.0</v>
      </c>
      <c r="G14" s="3">
        <v>4589.0</v>
      </c>
      <c r="H14" s="3">
        <v>4691.0</v>
      </c>
      <c r="I14" s="3">
        <v>4778.0</v>
      </c>
      <c r="J14" s="3">
        <v>4852.0</v>
      </c>
      <c r="K14" s="3">
        <v>4926.0</v>
      </c>
      <c r="L14" s="3">
        <v>5011.0</v>
      </c>
      <c r="M14" s="3">
        <v>5118.0</v>
      </c>
    </row>
    <row r="15">
      <c r="A15" s="3"/>
      <c r="B15" s="3" t="s">
        <v>69</v>
      </c>
      <c r="C15" s="3">
        <v>3381.0</v>
      </c>
      <c r="D15" s="3">
        <v>3469.0</v>
      </c>
      <c r="E15" s="3">
        <v>3548.0</v>
      </c>
      <c r="F15" s="3">
        <v>3632.0</v>
      </c>
      <c r="G15" s="3">
        <v>3717.0</v>
      </c>
      <c r="H15" s="3">
        <v>3812.0</v>
      </c>
      <c r="I15" s="3">
        <v>3918.0</v>
      </c>
      <c r="J15" s="3">
        <v>4033.0</v>
      </c>
      <c r="K15" s="3">
        <v>4150.0</v>
      </c>
      <c r="L15" s="3">
        <v>4261.0</v>
      </c>
      <c r="M15" s="3">
        <v>4361.0</v>
      </c>
    </row>
    <row r="16">
      <c r="A16" s="3"/>
      <c r="B16" s="3" t="s">
        <v>70</v>
      </c>
      <c r="C16" s="3">
        <v>2402.0</v>
      </c>
      <c r="D16" s="3">
        <v>2507.0</v>
      </c>
      <c r="E16" s="3">
        <v>2623.0</v>
      </c>
      <c r="F16" s="3">
        <v>2753.0</v>
      </c>
      <c r="G16" s="3">
        <v>2876.0</v>
      </c>
      <c r="H16" s="3">
        <v>2987.0</v>
      </c>
      <c r="I16" s="3">
        <v>3084.0</v>
      </c>
      <c r="J16" s="3">
        <v>3168.0</v>
      </c>
      <c r="K16" s="3">
        <v>3247.0</v>
      </c>
      <c r="L16" s="3">
        <v>3329.0</v>
      </c>
      <c r="M16" s="3">
        <v>3420.0</v>
      </c>
    </row>
    <row r="17">
      <c r="A17" s="3"/>
      <c r="B17" s="3" t="s">
        <v>71</v>
      </c>
      <c r="C17" s="3">
        <v>1581.0</v>
      </c>
      <c r="D17" s="3">
        <v>1642.0</v>
      </c>
      <c r="E17" s="3">
        <v>1711.0</v>
      </c>
      <c r="F17" s="3">
        <v>1798.0</v>
      </c>
      <c r="G17" s="3">
        <v>1890.0</v>
      </c>
      <c r="H17" s="3">
        <v>1990.0</v>
      </c>
      <c r="I17" s="3">
        <v>2097.0</v>
      </c>
      <c r="J17" s="3">
        <v>2211.0</v>
      </c>
      <c r="K17" s="3">
        <v>2326.0</v>
      </c>
      <c r="L17" s="3">
        <v>2435.0</v>
      </c>
      <c r="M17" s="3">
        <v>2534.0</v>
      </c>
    </row>
    <row r="18">
      <c r="A18" s="3"/>
      <c r="B18" s="3" t="s">
        <v>72</v>
      </c>
      <c r="C18" s="3">
        <v>934.0</v>
      </c>
      <c r="D18" s="3">
        <v>964.0</v>
      </c>
      <c r="E18" s="3">
        <v>1005.0</v>
      </c>
      <c r="F18" s="3">
        <v>1065.0</v>
      </c>
      <c r="G18" s="3">
        <v>1127.0</v>
      </c>
      <c r="H18" s="3">
        <v>1191.0</v>
      </c>
      <c r="I18" s="3">
        <v>1257.0</v>
      </c>
      <c r="J18" s="3">
        <v>1325.0</v>
      </c>
      <c r="K18" s="3">
        <v>1396.0</v>
      </c>
      <c r="L18" s="3">
        <v>1473.0</v>
      </c>
      <c r="M18" s="3">
        <v>1556.0</v>
      </c>
    </row>
    <row r="19">
      <c r="A19" s="3"/>
      <c r="B19" s="3" t="s">
        <v>73</v>
      </c>
      <c r="C19" s="3">
        <v>571.0</v>
      </c>
      <c r="D19" s="3">
        <v>546.0</v>
      </c>
      <c r="E19" s="3">
        <v>536.0</v>
      </c>
      <c r="F19" s="3">
        <v>548.0</v>
      </c>
      <c r="G19" s="3">
        <v>569.0</v>
      </c>
      <c r="H19" s="3">
        <v>597.0</v>
      </c>
      <c r="I19" s="3">
        <v>631.0</v>
      </c>
      <c r="J19" s="3">
        <v>671.0</v>
      </c>
      <c r="K19" s="3">
        <v>715.0</v>
      </c>
      <c r="L19" s="3">
        <v>760.0</v>
      </c>
      <c r="M19" s="3">
        <v>808.0</v>
      </c>
    </row>
    <row r="20">
      <c r="A20" s="3"/>
      <c r="B20" s="3" t="s">
        <v>74</v>
      </c>
      <c r="C20" s="3">
        <v>389.0</v>
      </c>
      <c r="D20" s="3">
        <v>395.0</v>
      </c>
      <c r="E20" s="3">
        <v>391.0</v>
      </c>
      <c r="F20" s="3">
        <v>400.0</v>
      </c>
      <c r="G20" s="3">
        <v>406.0</v>
      </c>
      <c r="H20" s="3">
        <v>410.0</v>
      </c>
      <c r="I20" s="3">
        <v>416.0</v>
      </c>
      <c r="J20" s="3">
        <v>426.0</v>
      </c>
      <c r="K20" s="3">
        <v>440.0</v>
      </c>
      <c r="L20" s="3">
        <v>456.0</v>
      </c>
      <c r="M20" s="3">
        <v>476.0</v>
      </c>
    </row>
    <row r="21">
      <c r="A21" s="3" t="s">
        <v>75</v>
      </c>
      <c r="B21" s="3" t="s">
        <v>58</v>
      </c>
      <c r="C21" s="3">
        <v>55393.0</v>
      </c>
      <c r="D21" s="3">
        <v>55819.0</v>
      </c>
      <c r="E21" s="3">
        <v>56239.0</v>
      </c>
      <c r="F21" s="3">
        <v>56720.0</v>
      </c>
      <c r="G21" s="3">
        <v>57202.0</v>
      </c>
      <c r="H21" s="3">
        <v>57685.0</v>
      </c>
      <c r="I21" s="3">
        <v>58171.0</v>
      </c>
      <c r="J21" s="3">
        <v>58662.0</v>
      </c>
      <c r="K21" s="3">
        <v>59155.0</v>
      </c>
      <c r="L21" s="3">
        <v>59652.0</v>
      </c>
      <c r="M21" s="3">
        <v>60150.0</v>
      </c>
    </row>
    <row r="22">
      <c r="A22" s="3"/>
      <c r="B22" s="3" t="s">
        <v>59</v>
      </c>
      <c r="C22" s="3">
        <v>5723.0</v>
      </c>
      <c r="D22" s="3">
        <v>5436.0</v>
      </c>
      <c r="E22" s="3">
        <v>5135.0</v>
      </c>
      <c r="F22" s="3">
        <v>4857.0</v>
      </c>
      <c r="G22" s="3">
        <v>4606.0</v>
      </c>
      <c r="H22" s="3">
        <v>4392.0</v>
      </c>
      <c r="I22" s="3">
        <v>4409.0</v>
      </c>
      <c r="J22" s="3">
        <v>4458.0</v>
      </c>
      <c r="K22" s="3">
        <v>4506.0</v>
      </c>
      <c r="L22" s="3">
        <v>4557.0</v>
      </c>
      <c r="M22" s="3">
        <v>4608.0</v>
      </c>
    </row>
    <row r="23">
      <c r="A23" s="3"/>
      <c r="B23" s="18">
        <v>45786.0</v>
      </c>
      <c r="C23" s="3">
        <v>5851.0</v>
      </c>
      <c r="D23" s="3">
        <v>5846.0</v>
      </c>
      <c r="E23" s="3">
        <v>5831.0</v>
      </c>
      <c r="F23" s="3">
        <v>5805.0</v>
      </c>
      <c r="G23" s="3">
        <v>5761.0</v>
      </c>
      <c r="H23" s="3">
        <v>5691.0</v>
      </c>
      <c r="I23" s="3">
        <v>5405.0</v>
      </c>
      <c r="J23" s="3">
        <v>5105.0</v>
      </c>
      <c r="K23" s="3">
        <v>4828.0</v>
      </c>
      <c r="L23" s="3">
        <v>4579.0</v>
      </c>
      <c r="M23" s="3">
        <v>4365.0</v>
      </c>
    </row>
    <row r="24">
      <c r="A24" s="3"/>
      <c r="B24" s="18">
        <v>45944.0</v>
      </c>
      <c r="C24" s="3">
        <v>5731.0</v>
      </c>
      <c r="D24" s="3">
        <v>5773.0</v>
      </c>
      <c r="E24" s="3">
        <v>5801.0</v>
      </c>
      <c r="F24" s="3">
        <v>5818.0</v>
      </c>
      <c r="G24" s="3">
        <v>5825.0</v>
      </c>
      <c r="H24" s="3">
        <v>5826.0</v>
      </c>
      <c r="I24" s="3">
        <v>5821.0</v>
      </c>
      <c r="J24" s="3">
        <v>5807.0</v>
      </c>
      <c r="K24" s="3">
        <v>5780.0</v>
      </c>
      <c r="L24" s="3">
        <v>5737.0</v>
      </c>
      <c r="M24" s="3">
        <v>5667.0</v>
      </c>
    </row>
    <row r="25">
      <c r="A25" s="3"/>
      <c r="B25" s="3" t="s">
        <v>60</v>
      </c>
      <c r="C25" s="3">
        <v>5369.0</v>
      </c>
      <c r="D25" s="3">
        <v>5429.0</v>
      </c>
      <c r="E25" s="3">
        <v>5499.0</v>
      </c>
      <c r="F25" s="3">
        <v>5572.0</v>
      </c>
      <c r="G25" s="3">
        <v>5640.0</v>
      </c>
      <c r="H25" s="3">
        <v>5696.0</v>
      </c>
      <c r="I25" s="3">
        <v>5738.0</v>
      </c>
      <c r="J25" s="3">
        <v>5766.0</v>
      </c>
      <c r="K25" s="3">
        <v>5783.0</v>
      </c>
      <c r="L25" s="3">
        <v>5791.0</v>
      </c>
      <c r="M25" s="3">
        <v>5792.0</v>
      </c>
    </row>
    <row r="26">
      <c r="A26" s="3"/>
      <c r="B26" s="3" t="s">
        <v>61</v>
      </c>
      <c r="C26" s="3">
        <v>5123.0</v>
      </c>
      <c r="D26" s="3">
        <v>5168.0</v>
      </c>
      <c r="E26" s="3">
        <v>5205.0</v>
      </c>
      <c r="F26" s="3">
        <v>5238.0</v>
      </c>
      <c r="G26" s="3">
        <v>5276.0</v>
      </c>
      <c r="H26" s="3">
        <v>5324.0</v>
      </c>
      <c r="I26" s="3">
        <v>5384.0</v>
      </c>
      <c r="J26" s="3">
        <v>5454.0</v>
      </c>
      <c r="K26" s="3">
        <v>5526.0</v>
      </c>
      <c r="L26" s="3">
        <v>5594.0</v>
      </c>
      <c r="M26" s="3">
        <v>5650.0</v>
      </c>
    </row>
    <row r="27">
      <c r="A27" s="3"/>
      <c r="B27" s="3" t="s">
        <v>62</v>
      </c>
      <c r="C27" s="3">
        <v>4722.0</v>
      </c>
      <c r="D27" s="3">
        <v>4802.0</v>
      </c>
      <c r="E27" s="3">
        <v>4878.0</v>
      </c>
      <c r="F27" s="3">
        <v>4950.0</v>
      </c>
      <c r="G27" s="3">
        <v>5015.0</v>
      </c>
      <c r="H27" s="3">
        <v>5071.0</v>
      </c>
      <c r="I27" s="3">
        <v>5117.0</v>
      </c>
      <c r="J27" s="3">
        <v>5154.0</v>
      </c>
      <c r="K27" s="3">
        <v>5187.0</v>
      </c>
      <c r="L27" s="3">
        <v>5226.0</v>
      </c>
      <c r="M27" s="3">
        <v>5274.0</v>
      </c>
    </row>
    <row r="28">
      <c r="A28" s="3"/>
      <c r="B28" s="3" t="s">
        <v>63</v>
      </c>
      <c r="C28" s="3">
        <v>4225.0</v>
      </c>
      <c r="D28" s="3">
        <v>4315.0</v>
      </c>
      <c r="E28" s="3">
        <v>4404.0</v>
      </c>
      <c r="F28" s="3">
        <v>4492.0</v>
      </c>
      <c r="G28" s="3">
        <v>4577.0</v>
      </c>
      <c r="H28" s="3">
        <v>4660.0</v>
      </c>
      <c r="I28" s="3">
        <v>4740.0</v>
      </c>
      <c r="J28" s="3">
        <v>4817.0</v>
      </c>
      <c r="K28" s="3">
        <v>4889.0</v>
      </c>
      <c r="L28" s="3">
        <v>4954.0</v>
      </c>
      <c r="M28" s="3">
        <v>5011.0</v>
      </c>
    </row>
    <row r="29">
      <c r="A29" s="3"/>
      <c r="B29" s="3" t="s">
        <v>64</v>
      </c>
      <c r="C29" s="3">
        <v>3719.0</v>
      </c>
      <c r="D29" s="3">
        <v>3792.0</v>
      </c>
      <c r="E29" s="3">
        <v>3875.0</v>
      </c>
      <c r="F29" s="3">
        <v>3966.0</v>
      </c>
      <c r="G29" s="3">
        <v>4059.0</v>
      </c>
      <c r="H29" s="3">
        <v>4152.0</v>
      </c>
      <c r="I29" s="3">
        <v>4242.0</v>
      </c>
      <c r="J29" s="3">
        <v>4332.0</v>
      </c>
      <c r="K29" s="3">
        <v>4419.0</v>
      </c>
      <c r="L29" s="3">
        <v>4505.0</v>
      </c>
      <c r="M29" s="3">
        <v>4588.0</v>
      </c>
    </row>
    <row r="30">
      <c r="A30" s="3"/>
      <c r="B30" s="3" t="s">
        <v>65</v>
      </c>
      <c r="C30" s="3">
        <v>3364.0</v>
      </c>
      <c r="D30" s="3">
        <v>3421.0</v>
      </c>
      <c r="E30" s="3">
        <v>3470.0</v>
      </c>
      <c r="F30" s="3">
        <v>3517.0</v>
      </c>
      <c r="G30" s="3">
        <v>3569.0</v>
      </c>
      <c r="H30" s="3">
        <v>3631.0</v>
      </c>
      <c r="I30" s="3">
        <v>3706.0</v>
      </c>
      <c r="J30" s="3">
        <v>3790.0</v>
      </c>
      <c r="K30" s="3">
        <v>3880.0</v>
      </c>
      <c r="L30" s="3">
        <v>3973.0</v>
      </c>
      <c r="M30" s="3">
        <v>4065.0</v>
      </c>
    </row>
    <row r="31">
      <c r="A31" s="3"/>
      <c r="B31" s="3" t="s">
        <v>66</v>
      </c>
      <c r="C31" s="3">
        <v>2871.0</v>
      </c>
      <c r="D31" s="3">
        <v>2938.0</v>
      </c>
      <c r="E31" s="3">
        <v>3016.0</v>
      </c>
      <c r="F31" s="3">
        <v>3100.0</v>
      </c>
      <c r="G31" s="3">
        <v>3181.0</v>
      </c>
      <c r="H31" s="3">
        <v>3252.0</v>
      </c>
      <c r="I31" s="3">
        <v>3312.0</v>
      </c>
      <c r="J31" s="3">
        <v>3363.0</v>
      </c>
      <c r="K31" s="3">
        <v>3410.0</v>
      </c>
      <c r="L31" s="3">
        <v>3462.0</v>
      </c>
      <c r="M31" s="3">
        <v>3525.0</v>
      </c>
    </row>
    <row r="32">
      <c r="A32" s="3"/>
      <c r="B32" s="3" t="s">
        <v>67</v>
      </c>
      <c r="C32" s="3">
        <v>2510.0</v>
      </c>
      <c r="D32" s="3">
        <v>2550.0</v>
      </c>
      <c r="E32" s="3">
        <v>2587.0</v>
      </c>
      <c r="F32" s="3">
        <v>2628.0</v>
      </c>
      <c r="G32" s="3">
        <v>2674.0</v>
      </c>
      <c r="H32" s="3">
        <v>2731.0</v>
      </c>
      <c r="I32" s="3">
        <v>2801.0</v>
      </c>
      <c r="J32" s="3">
        <v>2880.0</v>
      </c>
      <c r="K32" s="3">
        <v>2963.0</v>
      </c>
      <c r="L32" s="3">
        <v>3043.0</v>
      </c>
      <c r="M32" s="3">
        <v>3114.0</v>
      </c>
    </row>
    <row r="33">
      <c r="A33" s="3"/>
      <c r="B33" s="3" t="s">
        <v>68</v>
      </c>
      <c r="C33" s="3">
        <v>2063.0</v>
      </c>
      <c r="D33" s="3">
        <v>2111.0</v>
      </c>
      <c r="E33" s="3">
        <v>2165.0</v>
      </c>
      <c r="F33" s="3">
        <v>2224.0</v>
      </c>
      <c r="G33" s="3">
        <v>2281.0</v>
      </c>
      <c r="H33" s="3">
        <v>2333.0</v>
      </c>
      <c r="I33" s="3">
        <v>2378.0</v>
      </c>
      <c r="J33" s="3">
        <v>2418.0</v>
      </c>
      <c r="K33" s="3">
        <v>2458.0</v>
      </c>
      <c r="L33" s="3">
        <v>2505.0</v>
      </c>
      <c r="M33" s="3">
        <v>2561.0</v>
      </c>
    </row>
    <row r="34">
      <c r="A34" s="3"/>
      <c r="B34" s="3" t="s">
        <v>69</v>
      </c>
      <c r="C34" s="3">
        <v>1636.0</v>
      </c>
      <c r="D34" s="3">
        <v>1679.0</v>
      </c>
      <c r="E34" s="3">
        <v>1719.0</v>
      </c>
      <c r="F34" s="3">
        <v>1763.0</v>
      </c>
      <c r="G34" s="3">
        <v>1807.0</v>
      </c>
      <c r="H34" s="3">
        <v>1855.0</v>
      </c>
      <c r="I34" s="3">
        <v>1907.0</v>
      </c>
      <c r="J34" s="3">
        <v>1963.0</v>
      </c>
      <c r="K34" s="3">
        <v>2020.0</v>
      </c>
      <c r="L34" s="3">
        <v>2075.0</v>
      </c>
      <c r="M34" s="3">
        <v>2124.0</v>
      </c>
    </row>
    <row r="35">
      <c r="A35" s="3"/>
      <c r="B35" s="3" t="s">
        <v>70</v>
      </c>
      <c r="C35" s="3">
        <v>1116.0</v>
      </c>
      <c r="D35" s="3">
        <v>1164.0</v>
      </c>
      <c r="E35" s="3">
        <v>1219.0</v>
      </c>
      <c r="F35" s="3">
        <v>1281.0</v>
      </c>
      <c r="G35" s="3">
        <v>1340.0</v>
      </c>
      <c r="H35" s="3">
        <v>1394.0</v>
      </c>
      <c r="I35" s="3">
        <v>1442.0</v>
      </c>
      <c r="J35" s="3">
        <v>1485.0</v>
      </c>
      <c r="K35" s="3">
        <v>1525.0</v>
      </c>
      <c r="L35" s="3">
        <v>1567.0</v>
      </c>
      <c r="M35" s="3">
        <v>1612.0</v>
      </c>
    </row>
    <row r="36">
      <c r="A36" s="3"/>
      <c r="B36" s="3" t="s">
        <v>71</v>
      </c>
      <c r="C36" s="3">
        <v>685.0</v>
      </c>
      <c r="D36" s="3">
        <v>711.0</v>
      </c>
      <c r="E36" s="3">
        <v>741.0</v>
      </c>
      <c r="F36" s="3">
        <v>783.0</v>
      </c>
      <c r="G36" s="3">
        <v>826.0</v>
      </c>
      <c r="H36" s="3">
        <v>873.0</v>
      </c>
      <c r="I36" s="3">
        <v>923.0</v>
      </c>
      <c r="J36" s="3">
        <v>975.0</v>
      </c>
      <c r="K36" s="3">
        <v>1028.0</v>
      </c>
      <c r="L36" s="3">
        <v>1079.0</v>
      </c>
      <c r="M36" s="3">
        <v>1125.0</v>
      </c>
    </row>
    <row r="37">
      <c r="A37" s="3"/>
      <c r="B37" s="3" t="s">
        <v>72</v>
      </c>
      <c r="C37" s="3">
        <v>367.0</v>
      </c>
      <c r="D37" s="3">
        <v>378.0</v>
      </c>
      <c r="E37" s="3">
        <v>394.0</v>
      </c>
      <c r="F37" s="3">
        <v>419.0</v>
      </c>
      <c r="G37" s="3">
        <v>446.0</v>
      </c>
      <c r="H37" s="3">
        <v>474.0</v>
      </c>
      <c r="I37" s="3">
        <v>502.0</v>
      </c>
      <c r="J37" s="3">
        <v>532.0</v>
      </c>
      <c r="K37" s="3">
        <v>564.0</v>
      </c>
      <c r="L37" s="3">
        <v>598.0</v>
      </c>
      <c r="M37" s="3">
        <v>634.0</v>
      </c>
    </row>
    <row r="38">
      <c r="A38" s="3"/>
      <c r="B38" s="3" t="s">
        <v>73</v>
      </c>
      <c r="C38" s="3">
        <v>199.0</v>
      </c>
      <c r="D38" s="3">
        <v>186.0</v>
      </c>
      <c r="E38" s="3">
        <v>181.0</v>
      </c>
      <c r="F38" s="3">
        <v>187.0</v>
      </c>
      <c r="G38" s="3">
        <v>196.0</v>
      </c>
      <c r="H38" s="3">
        <v>207.0</v>
      </c>
      <c r="I38" s="3">
        <v>221.0</v>
      </c>
      <c r="J38" s="3">
        <v>236.0</v>
      </c>
      <c r="K38" s="3">
        <v>253.0</v>
      </c>
      <c r="L38" s="3">
        <v>271.0</v>
      </c>
      <c r="M38" s="3">
        <v>289.0</v>
      </c>
    </row>
    <row r="39">
      <c r="A39" s="3"/>
      <c r="B39" s="3" t="s">
        <v>74</v>
      </c>
      <c r="C39" s="3">
        <v>119.0</v>
      </c>
      <c r="D39" s="3">
        <v>120.0</v>
      </c>
      <c r="E39" s="3">
        <v>118.0</v>
      </c>
      <c r="F39" s="3">
        <v>121.0</v>
      </c>
      <c r="G39" s="3">
        <v>122.0</v>
      </c>
      <c r="H39" s="3">
        <v>123.0</v>
      </c>
      <c r="I39" s="3">
        <v>125.0</v>
      </c>
      <c r="J39" s="3">
        <v>128.0</v>
      </c>
      <c r="K39" s="3">
        <v>133.0</v>
      </c>
      <c r="L39" s="3">
        <v>138.0</v>
      </c>
      <c r="M39" s="3">
        <v>145.0</v>
      </c>
    </row>
    <row r="40">
      <c r="A40" s="3" t="s">
        <v>76</v>
      </c>
      <c r="B40" s="3" t="s">
        <v>58</v>
      </c>
      <c r="C40" s="3">
        <v>53810.0</v>
      </c>
      <c r="D40" s="3">
        <v>54263.0</v>
      </c>
      <c r="E40" s="3">
        <v>54701.0</v>
      </c>
      <c r="F40" s="3">
        <v>55192.0</v>
      </c>
      <c r="G40" s="3">
        <v>55683.0</v>
      </c>
      <c r="H40" s="3">
        <v>56178.0</v>
      </c>
      <c r="I40" s="3">
        <v>56678.0</v>
      </c>
      <c r="J40" s="3">
        <v>57184.0</v>
      </c>
      <c r="K40" s="3">
        <v>57694.0</v>
      </c>
      <c r="L40" s="3">
        <v>58208.0</v>
      </c>
      <c r="M40" s="3">
        <v>58724.0</v>
      </c>
    </row>
    <row r="41">
      <c r="A41" s="3"/>
      <c r="B41" s="3" t="s">
        <v>59</v>
      </c>
      <c r="C41" s="3">
        <v>5363.0</v>
      </c>
      <c r="D41" s="3">
        <v>5092.0</v>
      </c>
      <c r="E41" s="3">
        <v>4803.0</v>
      </c>
      <c r="F41" s="3">
        <v>4531.0</v>
      </c>
      <c r="G41" s="3">
        <v>4288.0</v>
      </c>
      <c r="H41" s="3">
        <v>4095.0</v>
      </c>
      <c r="I41" s="3">
        <v>4110.0</v>
      </c>
      <c r="J41" s="3">
        <v>4155.0</v>
      </c>
      <c r="K41" s="3">
        <v>4200.0</v>
      </c>
      <c r="L41" s="3">
        <v>4246.0</v>
      </c>
      <c r="M41" s="3">
        <v>4293.0</v>
      </c>
    </row>
    <row r="42">
      <c r="A42" s="3"/>
      <c r="B42" s="18">
        <v>45786.0</v>
      </c>
      <c r="C42" s="3">
        <v>5437.0</v>
      </c>
      <c r="D42" s="3">
        <v>5437.0</v>
      </c>
      <c r="E42" s="3">
        <v>5438.0</v>
      </c>
      <c r="F42" s="3">
        <v>5432.0</v>
      </c>
      <c r="G42" s="3">
        <v>5406.0</v>
      </c>
      <c r="H42" s="3">
        <v>5335.0</v>
      </c>
      <c r="I42" s="3">
        <v>5065.0</v>
      </c>
      <c r="J42" s="3">
        <v>4776.0</v>
      </c>
      <c r="K42" s="3">
        <v>4506.0</v>
      </c>
      <c r="L42" s="3">
        <v>4264.0</v>
      </c>
      <c r="M42" s="3">
        <v>4072.0</v>
      </c>
    </row>
    <row r="43">
      <c r="A43" s="3"/>
      <c r="B43" s="18">
        <v>45944.0</v>
      </c>
      <c r="C43" s="3">
        <v>5378.0</v>
      </c>
      <c r="D43" s="3">
        <v>5401.0</v>
      </c>
      <c r="E43" s="3">
        <v>5414.0</v>
      </c>
      <c r="F43" s="3">
        <v>5417.0</v>
      </c>
      <c r="G43" s="3">
        <v>5417.0</v>
      </c>
      <c r="H43" s="3">
        <v>5416.0</v>
      </c>
      <c r="I43" s="3">
        <v>5417.0</v>
      </c>
      <c r="J43" s="3">
        <v>5417.0</v>
      </c>
      <c r="K43" s="3">
        <v>5411.0</v>
      </c>
      <c r="L43" s="3">
        <v>5385.0</v>
      </c>
      <c r="M43" s="3">
        <v>5315.0</v>
      </c>
    </row>
    <row r="44">
      <c r="A44" s="3"/>
      <c r="B44" s="3" t="s">
        <v>60</v>
      </c>
      <c r="C44" s="3">
        <v>5130.0</v>
      </c>
      <c r="D44" s="3">
        <v>5174.0</v>
      </c>
      <c r="E44" s="3">
        <v>5223.0</v>
      </c>
      <c r="F44" s="3">
        <v>5273.0</v>
      </c>
      <c r="G44" s="3">
        <v>5317.0</v>
      </c>
      <c r="H44" s="3">
        <v>5352.0</v>
      </c>
      <c r="I44" s="3">
        <v>5376.0</v>
      </c>
      <c r="J44" s="3">
        <v>5388.0</v>
      </c>
      <c r="K44" s="3">
        <v>5392.0</v>
      </c>
      <c r="L44" s="3">
        <v>5391.0</v>
      </c>
      <c r="M44" s="3">
        <v>5391.0</v>
      </c>
    </row>
    <row r="45">
      <c r="A45" s="3"/>
      <c r="B45" s="3" t="s">
        <v>61</v>
      </c>
      <c r="C45" s="3">
        <v>4917.0</v>
      </c>
      <c r="D45" s="3">
        <v>4962.0</v>
      </c>
      <c r="E45" s="3">
        <v>4998.0</v>
      </c>
      <c r="F45" s="3">
        <v>5029.0</v>
      </c>
      <c r="G45" s="3">
        <v>5061.0</v>
      </c>
      <c r="H45" s="3">
        <v>5098.0</v>
      </c>
      <c r="I45" s="3">
        <v>5142.0</v>
      </c>
      <c r="J45" s="3">
        <v>5191.0</v>
      </c>
      <c r="K45" s="3">
        <v>5241.0</v>
      </c>
      <c r="L45" s="3">
        <v>5286.0</v>
      </c>
      <c r="M45" s="3">
        <v>5321.0</v>
      </c>
    </row>
    <row r="46">
      <c r="A46" s="3"/>
      <c r="B46" s="3" t="s">
        <v>62</v>
      </c>
      <c r="C46" s="3">
        <v>4521.0</v>
      </c>
      <c r="D46" s="3">
        <v>4608.0</v>
      </c>
      <c r="E46" s="3">
        <v>4687.0</v>
      </c>
      <c r="F46" s="3">
        <v>4758.0</v>
      </c>
      <c r="G46" s="3">
        <v>4821.0</v>
      </c>
      <c r="H46" s="3">
        <v>4875.0</v>
      </c>
      <c r="I46" s="3">
        <v>4920.0</v>
      </c>
      <c r="J46" s="3">
        <v>4956.0</v>
      </c>
      <c r="K46" s="3">
        <v>4988.0</v>
      </c>
      <c r="L46" s="3">
        <v>5020.0</v>
      </c>
      <c r="M46" s="3">
        <v>5057.0</v>
      </c>
    </row>
    <row r="47">
      <c r="A47" s="3"/>
      <c r="B47" s="3" t="s">
        <v>63</v>
      </c>
      <c r="C47" s="3">
        <v>3959.0</v>
      </c>
      <c r="D47" s="3">
        <v>4057.0</v>
      </c>
      <c r="E47" s="3">
        <v>4161.0</v>
      </c>
      <c r="F47" s="3">
        <v>4268.0</v>
      </c>
      <c r="G47" s="3">
        <v>4372.0</v>
      </c>
      <c r="H47" s="3">
        <v>4468.0</v>
      </c>
      <c r="I47" s="3">
        <v>4555.0</v>
      </c>
      <c r="J47" s="3">
        <v>4635.0</v>
      </c>
      <c r="K47" s="3">
        <v>4705.0</v>
      </c>
      <c r="L47" s="3">
        <v>4768.0</v>
      </c>
      <c r="M47" s="3">
        <v>4822.0</v>
      </c>
    </row>
    <row r="48">
      <c r="A48" s="3"/>
      <c r="B48" s="3" t="s">
        <v>64</v>
      </c>
      <c r="C48" s="3">
        <v>3514.0</v>
      </c>
      <c r="D48" s="3">
        <v>3579.0</v>
      </c>
      <c r="E48" s="3">
        <v>3650.0</v>
      </c>
      <c r="F48" s="3">
        <v>3727.0</v>
      </c>
      <c r="G48" s="3">
        <v>3811.0</v>
      </c>
      <c r="H48" s="3">
        <v>3902.0</v>
      </c>
      <c r="I48" s="3">
        <v>4000.0</v>
      </c>
      <c r="J48" s="3">
        <v>4105.0</v>
      </c>
      <c r="K48" s="3">
        <v>4211.0</v>
      </c>
      <c r="L48" s="3">
        <v>4315.0</v>
      </c>
      <c r="M48" s="3">
        <v>4411.0</v>
      </c>
    </row>
    <row r="49">
      <c r="A49" s="3"/>
      <c r="B49" s="3" t="s">
        <v>65</v>
      </c>
      <c r="C49" s="3">
        <v>3175.0</v>
      </c>
      <c r="D49" s="3">
        <v>3236.0</v>
      </c>
      <c r="E49" s="3">
        <v>3290.0</v>
      </c>
      <c r="F49" s="3">
        <v>3342.0</v>
      </c>
      <c r="G49" s="3">
        <v>3396.0</v>
      </c>
      <c r="H49" s="3">
        <v>3455.0</v>
      </c>
      <c r="I49" s="3">
        <v>3522.0</v>
      </c>
      <c r="J49" s="3">
        <v>3593.0</v>
      </c>
      <c r="K49" s="3">
        <v>3670.0</v>
      </c>
      <c r="L49" s="3">
        <v>3754.0</v>
      </c>
      <c r="M49" s="3">
        <v>3844.0</v>
      </c>
    </row>
    <row r="50">
      <c r="A50" s="3"/>
      <c r="B50" s="3" t="s">
        <v>66</v>
      </c>
      <c r="C50" s="3">
        <v>2736.0</v>
      </c>
      <c r="D50" s="3">
        <v>2799.0</v>
      </c>
      <c r="E50" s="3">
        <v>2874.0</v>
      </c>
      <c r="F50" s="3">
        <v>2956.0</v>
      </c>
      <c r="G50" s="3">
        <v>3035.0</v>
      </c>
      <c r="H50" s="3">
        <v>3107.0</v>
      </c>
      <c r="I50" s="3">
        <v>3170.0</v>
      </c>
      <c r="J50" s="3">
        <v>3225.0</v>
      </c>
      <c r="K50" s="3">
        <v>3277.0</v>
      </c>
      <c r="L50" s="3">
        <v>3330.0</v>
      </c>
      <c r="M50" s="3">
        <v>3390.0</v>
      </c>
    </row>
    <row r="51">
      <c r="A51" s="3"/>
      <c r="B51" s="3" t="s">
        <v>67</v>
      </c>
      <c r="C51" s="3">
        <v>2462.0</v>
      </c>
      <c r="D51" s="3">
        <v>2501.0</v>
      </c>
      <c r="E51" s="3">
        <v>2533.0</v>
      </c>
      <c r="F51" s="3">
        <v>2565.0</v>
      </c>
      <c r="G51" s="3">
        <v>2604.0</v>
      </c>
      <c r="H51" s="3">
        <v>2655.0</v>
      </c>
      <c r="I51" s="3">
        <v>2719.0</v>
      </c>
      <c r="J51" s="3">
        <v>2795.0</v>
      </c>
      <c r="K51" s="3">
        <v>2876.0</v>
      </c>
      <c r="L51" s="3">
        <v>2955.0</v>
      </c>
      <c r="M51" s="3">
        <v>3026.0</v>
      </c>
    </row>
    <row r="52">
      <c r="A52" s="3"/>
      <c r="B52" s="3" t="s">
        <v>68</v>
      </c>
      <c r="C52" s="3">
        <v>2081.0</v>
      </c>
      <c r="D52" s="3">
        <v>2132.0</v>
      </c>
      <c r="E52" s="3">
        <v>2189.0</v>
      </c>
      <c r="F52" s="3">
        <v>2251.0</v>
      </c>
      <c r="G52" s="3">
        <v>2308.0</v>
      </c>
      <c r="H52" s="3">
        <v>2359.0</v>
      </c>
      <c r="I52" s="3">
        <v>2400.0</v>
      </c>
      <c r="J52" s="3">
        <v>2434.0</v>
      </c>
      <c r="K52" s="3">
        <v>2467.0</v>
      </c>
      <c r="L52" s="3">
        <v>2507.0</v>
      </c>
      <c r="M52" s="3">
        <v>2557.0</v>
      </c>
    </row>
    <row r="53">
      <c r="A53" s="3"/>
      <c r="B53" s="3" t="s">
        <v>69</v>
      </c>
      <c r="C53" s="3">
        <v>1745.0</v>
      </c>
      <c r="D53" s="3">
        <v>1790.0</v>
      </c>
      <c r="E53" s="3">
        <v>1829.0</v>
      </c>
      <c r="F53" s="3">
        <v>1869.0</v>
      </c>
      <c r="G53" s="3">
        <v>1910.0</v>
      </c>
      <c r="H53" s="3">
        <v>1957.0</v>
      </c>
      <c r="I53" s="3">
        <v>2011.0</v>
      </c>
      <c r="J53" s="3">
        <v>2070.0</v>
      </c>
      <c r="K53" s="3">
        <v>2130.0</v>
      </c>
      <c r="L53" s="3">
        <v>2187.0</v>
      </c>
      <c r="M53" s="3">
        <v>2236.0</v>
      </c>
    </row>
    <row r="54">
      <c r="A54" s="3"/>
      <c r="B54" s="3" t="s">
        <v>70</v>
      </c>
      <c r="C54" s="3">
        <v>1286.0</v>
      </c>
      <c r="D54" s="3">
        <v>1342.0</v>
      </c>
      <c r="E54" s="3">
        <v>1404.0</v>
      </c>
      <c r="F54" s="3">
        <v>1472.0</v>
      </c>
      <c r="G54" s="3">
        <v>1536.0</v>
      </c>
      <c r="H54" s="3">
        <v>1592.0</v>
      </c>
      <c r="I54" s="3">
        <v>1641.0</v>
      </c>
      <c r="J54" s="3">
        <v>1683.0</v>
      </c>
      <c r="K54" s="3">
        <v>1722.0</v>
      </c>
      <c r="L54" s="3">
        <v>1762.0</v>
      </c>
      <c r="M54" s="3">
        <v>1808.0</v>
      </c>
    </row>
    <row r="55">
      <c r="A55" s="3"/>
      <c r="B55" s="3" t="s">
        <v>71</v>
      </c>
      <c r="C55" s="3">
        <v>896.0</v>
      </c>
      <c r="D55" s="3">
        <v>931.0</v>
      </c>
      <c r="E55" s="3">
        <v>969.0</v>
      </c>
      <c r="F55" s="3">
        <v>1015.0</v>
      </c>
      <c r="G55" s="3">
        <v>1064.0</v>
      </c>
      <c r="H55" s="3">
        <v>1117.0</v>
      </c>
      <c r="I55" s="3">
        <v>1175.0</v>
      </c>
      <c r="J55" s="3">
        <v>1236.0</v>
      </c>
      <c r="K55" s="3">
        <v>1298.0</v>
      </c>
      <c r="L55" s="3">
        <v>1356.0</v>
      </c>
      <c r="M55" s="3">
        <v>1409.0</v>
      </c>
    </row>
    <row r="56">
      <c r="A56" s="3"/>
      <c r="B56" s="3" t="s">
        <v>72</v>
      </c>
      <c r="C56" s="3">
        <v>567.0</v>
      </c>
      <c r="D56" s="3">
        <v>586.0</v>
      </c>
      <c r="E56" s="3">
        <v>611.0</v>
      </c>
      <c r="F56" s="3">
        <v>645.0</v>
      </c>
      <c r="G56" s="3">
        <v>681.0</v>
      </c>
      <c r="H56" s="3">
        <v>717.0</v>
      </c>
      <c r="I56" s="3">
        <v>755.0</v>
      </c>
      <c r="J56" s="3">
        <v>792.0</v>
      </c>
      <c r="K56" s="3">
        <v>832.0</v>
      </c>
      <c r="L56" s="3">
        <v>875.0</v>
      </c>
      <c r="M56" s="3">
        <v>921.0</v>
      </c>
    </row>
    <row r="57">
      <c r="A57" s="3"/>
      <c r="B57" s="3" t="s">
        <v>73</v>
      </c>
      <c r="C57" s="3">
        <v>372.0</v>
      </c>
      <c r="D57" s="3">
        <v>360.0</v>
      </c>
      <c r="E57" s="3">
        <v>355.0</v>
      </c>
      <c r="F57" s="3">
        <v>362.0</v>
      </c>
      <c r="G57" s="3">
        <v>373.0</v>
      </c>
      <c r="H57" s="3">
        <v>390.0</v>
      </c>
      <c r="I57" s="3">
        <v>411.0</v>
      </c>
      <c r="J57" s="3">
        <v>435.0</v>
      </c>
      <c r="K57" s="3">
        <v>462.0</v>
      </c>
      <c r="L57" s="3">
        <v>490.0</v>
      </c>
      <c r="M57" s="3">
        <v>519.0</v>
      </c>
    </row>
    <row r="58">
      <c r="A58" s="3"/>
      <c r="B58" s="3" t="s">
        <v>74</v>
      </c>
      <c r="C58" s="3">
        <v>271.0</v>
      </c>
      <c r="D58" s="3">
        <v>274.0</v>
      </c>
      <c r="E58" s="3">
        <v>273.0</v>
      </c>
      <c r="F58" s="3">
        <v>279.0</v>
      </c>
      <c r="G58" s="3">
        <v>284.0</v>
      </c>
      <c r="H58" s="3">
        <v>287.0</v>
      </c>
      <c r="I58" s="3">
        <v>291.0</v>
      </c>
      <c r="J58" s="3">
        <v>298.0</v>
      </c>
      <c r="K58" s="3">
        <v>307.0</v>
      </c>
      <c r="L58" s="3">
        <v>318.0</v>
      </c>
      <c r="M58" s="3">
        <v>332.0</v>
      </c>
    </row>
    <row r="59">
      <c r="A59" s="3" t="s">
        <v>77</v>
      </c>
      <c r="B59" s="3"/>
    </row>
    <row r="60">
      <c r="A60" s="3" t="s">
        <v>78</v>
      </c>
      <c r="B60" s="3"/>
    </row>
    <row r="61">
      <c r="A61" s="3" t="s">
        <v>79</v>
      </c>
      <c r="B61" s="3"/>
    </row>
    <row r="62">
      <c r="A62" s="3" t="s">
        <v>80</v>
      </c>
      <c r="B62" s="3"/>
    </row>
    <row r="63">
      <c r="A63" s="3" t="s">
        <v>81</v>
      </c>
      <c r="B63" s="3"/>
    </row>
    <row r="64">
      <c r="A64" s="3" t="s">
        <v>82</v>
      </c>
      <c r="B64" s="3"/>
    </row>
    <row r="65">
      <c r="A65" s="3" t="s">
        <v>83</v>
      </c>
      <c r="B65" s="3"/>
    </row>
    <row r="66">
      <c r="A66" s="3" t="s">
        <v>84</v>
      </c>
      <c r="B66" s="3"/>
    </row>
    <row r="67">
      <c r="A67" s="3" t="s">
        <v>85</v>
      </c>
      <c r="B67" s="3"/>
    </row>
    <row r="68">
      <c r="A68" s="3" t="s">
        <v>86</v>
      </c>
      <c r="B68" s="3"/>
    </row>
    <row r="69">
      <c r="A69" s="3" t="s">
        <v>87</v>
      </c>
      <c r="B69" s="3"/>
    </row>
    <row r="70">
      <c r="A70" s="3" t="s">
        <v>88</v>
      </c>
      <c r="B70" s="3"/>
    </row>
    <row r="71">
      <c r="A71" s="3" t="s">
        <v>89</v>
      </c>
      <c r="B71" s="3"/>
    </row>
    <row r="72">
      <c r="A72" s="3" t="s">
        <v>90</v>
      </c>
      <c r="B72" s="3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9"/>
      <c r="B1" s="19"/>
      <c r="C1" s="19" t="s">
        <v>57</v>
      </c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 t="s">
        <v>75</v>
      </c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 t="s">
        <v>76</v>
      </c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</row>
    <row r="2">
      <c r="A2" s="5"/>
      <c r="B2" s="5"/>
      <c r="C2" s="5" t="s">
        <v>58</v>
      </c>
      <c r="D2" s="5" t="s">
        <v>91</v>
      </c>
      <c r="E2" s="18">
        <v>45786.0</v>
      </c>
      <c r="F2" s="18">
        <v>45944.0</v>
      </c>
      <c r="G2" s="5" t="s">
        <v>60</v>
      </c>
      <c r="H2" s="5" t="s">
        <v>61</v>
      </c>
      <c r="I2" s="5" t="s">
        <v>62</v>
      </c>
      <c r="J2" s="5" t="s">
        <v>63</v>
      </c>
      <c r="K2" s="5" t="s">
        <v>64</v>
      </c>
      <c r="L2" s="5" t="s">
        <v>65</v>
      </c>
      <c r="M2" s="5" t="s">
        <v>66</v>
      </c>
      <c r="N2" s="5" t="s">
        <v>67</v>
      </c>
      <c r="O2" s="5" t="s">
        <v>68</v>
      </c>
      <c r="P2" s="5" t="s">
        <v>69</v>
      </c>
      <c r="Q2" s="5" t="s">
        <v>70</v>
      </c>
      <c r="R2" s="5" t="s">
        <v>71</v>
      </c>
      <c r="S2" s="5" t="s">
        <v>72</v>
      </c>
      <c r="T2" s="5" t="s">
        <v>92</v>
      </c>
      <c r="U2" s="5" t="s">
        <v>58</v>
      </c>
      <c r="V2" s="5" t="s">
        <v>91</v>
      </c>
      <c r="W2" s="18">
        <v>45786.0</v>
      </c>
      <c r="X2" s="18">
        <v>45944.0</v>
      </c>
      <c r="Y2" s="5" t="s">
        <v>60</v>
      </c>
      <c r="Z2" s="5" t="s">
        <v>61</v>
      </c>
      <c r="AA2" s="5" t="s">
        <v>62</v>
      </c>
      <c r="AB2" s="5" t="s">
        <v>63</v>
      </c>
      <c r="AC2" s="5" t="s">
        <v>64</v>
      </c>
      <c r="AD2" s="5" t="s">
        <v>65</v>
      </c>
      <c r="AE2" s="5" t="s">
        <v>66</v>
      </c>
      <c r="AF2" s="5" t="s">
        <v>67</v>
      </c>
      <c r="AG2" s="5" t="s">
        <v>68</v>
      </c>
      <c r="AH2" s="5" t="s">
        <v>69</v>
      </c>
      <c r="AI2" s="5" t="s">
        <v>70</v>
      </c>
      <c r="AJ2" s="5" t="s">
        <v>71</v>
      </c>
      <c r="AK2" s="5" t="s">
        <v>72</v>
      </c>
      <c r="AL2" s="5" t="s">
        <v>92</v>
      </c>
      <c r="AM2" s="5" t="s">
        <v>58</v>
      </c>
      <c r="AN2" s="5" t="s">
        <v>91</v>
      </c>
      <c r="AO2" s="18">
        <v>45786.0</v>
      </c>
      <c r="AP2" s="18">
        <v>45944.0</v>
      </c>
      <c r="AQ2" s="5" t="s">
        <v>60</v>
      </c>
      <c r="AR2" s="5" t="s">
        <v>61</v>
      </c>
      <c r="AS2" s="5" t="s">
        <v>62</v>
      </c>
      <c r="AT2" s="5" t="s">
        <v>63</v>
      </c>
      <c r="AU2" s="5" t="s">
        <v>64</v>
      </c>
      <c r="AV2" s="5" t="s">
        <v>65</v>
      </c>
      <c r="AW2" s="5" t="s">
        <v>66</v>
      </c>
      <c r="AX2" s="5" t="s">
        <v>67</v>
      </c>
      <c r="AY2" s="5" t="s">
        <v>68</v>
      </c>
      <c r="AZ2" s="5" t="s">
        <v>69</v>
      </c>
      <c r="BA2" s="5" t="s">
        <v>70</v>
      </c>
      <c r="BB2" s="5" t="s">
        <v>71</v>
      </c>
      <c r="BC2" s="5" t="s">
        <v>72</v>
      </c>
      <c r="BD2" s="5" t="s">
        <v>92</v>
      </c>
      <c r="BE2" s="4"/>
      <c r="BF2" s="4"/>
      <c r="BG2" s="4"/>
      <c r="BH2" s="4"/>
      <c r="BI2" s="4"/>
      <c r="BJ2" s="4"/>
    </row>
    <row r="3">
      <c r="A3" s="5" t="s">
        <v>93</v>
      </c>
      <c r="B3" s="5" t="s">
        <v>94</v>
      </c>
      <c r="C3" s="5">
        <v>1.09033245E8</v>
      </c>
      <c r="D3" s="5">
        <v>1.1069479E7</v>
      </c>
      <c r="E3" s="5">
        <v>1.1270637E7</v>
      </c>
      <c r="F3" s="5">
        <v>1.1091362E7</v>
      </c>
      <c r="G3" s="5">
        <v>1.0482815E7</v>
      </c>
      <c r="H3" s="5">
        <v>1.0024753E7</v>
      </c>
      <c r="I3" s="5">
        <v>9229288.0</v>
      </c>
      <c r="J3" s="5">
        <v>8171423.0</v>
      </c>
      <c r="K3" s="5">
        <v>7221785.0</v>
      </c>
      <c r="L3" s="5">
        <v>6528846.0</v>
      </c>
      <c r="M3" s="5">
        <v>5598765.0</v>
      </c>
      <c r="N3" s="5">
        <v>4964629.0</v>
      </c>
      <c r="O3" s="5">
        <v>4137342.0</v>
      </c>
      <c r="P3" s="5">
        <v>3375290.0</v>
      </c>
      <c r="Q3" s="5">
        <v>2398116.0</v>
      </c>
      <c r="R3" s="5">
        <v>1578185.0</v>
      </c>
      <c r="S3" s="5">
        <v>932231.0</v>
      </c>
      <c r="T3" s="5">
        <v>958299.0</v>
      </c>
      <c r="U3" s="5">
        <v>5.5306793E7</v>
      </c>
      <c r="V3" s="5">
        <v>5714396.0</v>
      </c>
      <c r="W3" s="5">
        <v>5842244.0</v>
      </c>
      <c r="X3" s="5">
        <v>5721890.0</v>
      </c>
      <c r="Y3" s="5">
        <v>5360801.0</v>
      </c>
      <c r="Z3" s="5">
        <v>5115243.0</v>
      </c>
      <c r="AA3" s="5">
        <v>4715102.0</v>
      </c>
      <c r="AB3" s="5">
        <v>4218801.0</v>
      </c>
      <c r="AC3" s="5">
        <v>3713272.0</v>
      </c>
      <c r="AD3" s="5">
        <v>3358616.0</v>
      </c>
      <c r="AE3" s="5">
        <v>2866551.0</v>
      </c>
      <c r="AF3" s="5">
        <v>2505960.0</v>
      </c>
      <c r="AG3" s="5">
        <v>2059409.0</v>
      </c>
      <c r="AH3" s="5">
        <v>1633478.0</v>
      </c>
      <c r="AI3" s="5">
        <v>1114284.0</v>
      </c>
      <c r="AJ3" s="5">
        <v>683843.0</v>
      </c>
      <c r="AK3" s="5">
        <v>366132.0</v>
      </c>
      <c r="AL3" s="5">
        <v>316771.0</v>
      </c>
      <c r="AM3" s="5">
        <v>5.3726452E7</v>
      </c>
      <c r="AN3" s="5">
        <v>5355083.0</v>
      </c>
      <c r="AO3" s="5">
        <v>5428393.0</v>
      </c>
      <c r="AP3" s="5">
        <v>5369472.0</v>
      </c>
      <c r="AQ3" s="5">
        <v>5122014.0</v>
      </c>
      <c r="AR3" s="5">
        <v>4909510.0</v>
      </c>
      <c r="AS3" s="5">
        <v>4514186.0</v>
      </c>
      <c r="AT3" s="5">
        <v>3952622.0</v>
      </c>
      <c r="AU3" s="5">
        <v>3508513.0</v>
      </c>
      <c r="AV3" s="5">
        <v>3170230.0</v>
      </c>
      <c r="AW3" s="5">
        <v>2732214.0</v>
      </c>
      <c r="AX3" s="5">
        <v>2458669.0</v>
      </c>
      <c r="AY3" s="5">
        <v>2077933.0</v>
      </c>
      <c r="AZ3" s="5">
        <v>1741812.0</v>
      </c>
      <c r="BA3" s="5">
        <v>1283832.0</v>
      </c>
      <c r="BB3" s="5">
        <v>894342.0</v>
      </c>
      <c r="BC3" s="5">
        <v>566099.0</v>
      </c>
      <c r="BD3" s="5">
        <v>641528.0</v>
      </c>
      <c r="BE3" s="4"/>
      <c r="BF3" s="4"/>
      <c r="BG3" s="4"/>
      <c r="BH3" s="4"/>
      <c r="BI3" s="4"/>
      <c r="BJ3" s="4"/>
    </row>
    <row r="4">
      <c r="A4" s="5"/>
      <c r="B4" s="5" t="s">
        <v>95</v>
      </c>
      <c r="C4" s="5">
        <v>1.3484462E7</v>
      </c>
      <c r="D4" s="5">
        <v>1279827.0</v>
      </c>
      <c r="E4" s="5">
        <v>1237986.0</v>
      </c>
      <c r="F4" s="5">
        <v>1177453.0</v>
      </c>
      <c r="G4" s="5">
        <v>1118951.0</v>
      </c>
      <c r="H4" s="5">
        <v>1284062.0</v>
      </c>
      <c r="I4" s="5">
        <v>1298890.0</v>
      </c>
      <c r="J4" s="5">
        <v>1174399.0</v>
      </c>
      <c r="K4" s="5">
        <v>1017767.0</v>
      </c>
      <c r="L4" s="5">
        <v>896189.0</v>
      </c>
      <c r="M4" s="5">
        <v>749356.0</v>
      </c>
      <c r="N4" s="5">
        <v>654711.0</v>
      </c>
      <c r="O4" s="5">
        <v>532290.0</v>
      </c>
      <c r="P4" s="5">
        <v>423765.0</v>
      </c>
      <c r="Q4" s="5">
        <v>281295.0</v>
      </c>
      <c r="R4" s="5">
        <v>177144.0</v>
      </c>
      <c r="S4" s="5">
        <v>88950.0</v>
      </c>
      <c r="T4" s="5">
        <v>91427.0</v>
      </c>
      <c r="U4" s="5">
        <v>6737870.0</v>
      </c>
      <c r="V4" s="5">
        <v>660956.0</v>
      </c>
      <c r="W4" s="5">
        <v>641893.0</v>
      </c>
      <c r="X4" s="5">
        <v>608724.0</v>
      </c>
      <c r="Y4" s="5">
        <v>568734.0</v>
      </c>
      <c r="Z4" s="5">
        <v>645668.0</v>
      </c>
      <c r="AA4" s="5">
        <v>657512.0</v>
      </c>
      <c r="AB4" s="5">
        <v>602717.0</v>
      </c>
      <c r="AC4" s="5">
        <v>515328.0</v>
      </c>
      <c r="AD4" s="5">
        <v>450006.0</v>
      </c>
      <c r="AE4" s="5">
        <v>372182.0</v>
      </c>
      <c r="AF4" s="5">
        <v>317114.0</v>
      </c>
      <c r="AG4" s="5">
        <v>250731.0</v>
      </c>
      <c r="AH4" s="5">
        <v>193188.0</v>
      </c>
      <c r="AI4" s="5">
        <v>122647.0</v>
      </c>
      <c r="AJ4" s="5">
        <v>72014.0</v>
      </c>
      <c r="AK4" s="5">
        <v>31870.0</v>
      </c>
      <c r="AL4" s="5">
        <v>26586.0</v>
      </c>
      <c r="AM4" s="5">
        <v>6746592.0</v>
      </c>
      <c r="AN4" s="5">
        <v>618871.0</v>
      </c>
      <c r="AO4" s="5">
        <v>596093.0</v>
      </c>
      <c r="AP4" s="5">
        <v>568729.0</v>
      </c>
      <c r="AQ4" s="5">
        <v>550217.0</v>
      </c>
      <c r="AR4" s="5">
        <v>638394.0</v>
      </c>
      <c r="AS4" s="5">
        <v>641378.0</v>
      </c>
      <c r="AT4" s="5">
        <v>571682.0</v>
      </c>
      <c r="AU4" s="5">
        <v>502439.0</v>
      </c>
      <c r="AV4" s="5">
        <v>446183.0</v>
      </c>
      <c r="AW4" s="5">
        <v>377174.0</v>
      </c>
      <c r="AX4" s="5">
        <v>337597.0</v>
      </c>
      <c r="AY4" s="5">
        <v>281559.0</v>
      </c>
      <c r="AZ4" s="5">
        <v>230577.0</v>
      </c>
      <c r="BA4" s="5">
        <v>158648.0</v>
      </c>
      <c r="BB4" s="5">
        <v>105130.0</v>
      </c>
      <c r="BC4" s="5">
        <v>57080.0</v>
      </c>
      <c r="BD4" s="5">
        <v>64841.0</v>
      </c>
      <c r="BE4" s="4"/>
      <c r="BF4" s="4"/>
      <c r="BG4" s="4"/>
      <c r="BH4" s="4"/>
      <c r="BI4" s="4"/>
      <c r="BJ4" s="4"/>
    </row>
    <row r="5">
      <c r="A5" s="5"/>
      <c r="B5" s="5" t="s">
        <v>96</v>
      </c>
      <c r="C5" s="5">
        <v>1846513.0</v>
      </c>
      <c r="D5" s="5">
        <v>169275.0</v>
      </c>
      <c r="E5" s="5">
        <v>166305.0</v>
      </c>
      <c r="F5" s="5">
        <v>158577.0</v>
      </c>
      <c r="G5" s="5">
        <v>157770.0</v>
      </c>
      <c r="H5" s="5">
        <v>181027.0</v>
      </c>
      <c r="I5" s="5">
        <v>178784.0</v>
      </c>
      <c r="J5" s="5">
        <v>155850.0</v>
      </c>
      <c r="K5" s="5">
        <v>133781.0</v>
      </c>
      <c r="L5" s="5">
        <v>119221.0</v>
      </c>
      <c r="M5" s="5">
        <v>101870.0</v>
      </c>
      <c r="N5" s="5">
        <v>92711.0</v>
      </c>
      <c r="O5" s="5">
        <v>76035.0</v>
      </c>
      <c r="P5" s="5">
        <v>61103.0</v>
      </c>
      <c r="Q5" s="5">
        <v>40846.0</v>
      </c>
      <c r="R5" s="5">
        <v>26818.0</v>
      </c>
      <c r="S5" s="5">
        <v>12938.0</v>
      </c>
      <c r="T5" s="5">
        <v>13602.0</v>
      </c>
      <c r="U5" s="5">
        <v>918643.0</v>
      </c>
      <c r="V5" s="5">
        <v>87422.0</v>
      </c>
      <c r="W5" s="5">
        <v>86206.0</v>
      </c>
      <c r="X5" s="5">
        <v>81657.0</v>
      </c>
      <c r="Y5" s="5">
        <v>79942.0</v>
      </c>
      <c r="Z5" s="5">
        <v>90893.0</v>
      </c>
      <c r="AA5" s="5">
        <v>90344.0</v>
      </c>
      <c r="AB5" s="5">
        <v>80241.0</v>
      </c>
      <c r="AC5" s="5">
        <v>67844.0</v>
      </c>
      <c r="AD5" s="5">
        <v>59753.0</v>
      </c>
      <c r="AE5" s="5">
        <v>50560.0</v>
      </c>
      <c r="AF5" s="5">
        <v>44618.0</v>
      </c>
      <c r="AG5" s="5">
        <v>35629.0</v>
      </c>
      <c r="AH5" s="5">
        <v>27505.0</v>
      </c>
      <c r="AI5" s="5">
        <v>17480.0</v>
      </c>
      <c r="AJ5" s="5">
        <v>10563.0</v>
      </c>
      <c r="AK5" s="5">
        <v>4452.0</v>
      </c>
      <c r="AL5" s="5">
        <v>3534.0</v>
      </c>
      <c r="AM5" s="5">
        <v>927870.0</v>
      </c>
      <c r="AN5" s="5">
        <v>81853.0</v>
      </c>
      <c r="AO5" s="5">
        <v>80099.0</v>
      </c>
      <c r="AP5" s="5">
        <v>76920.0</v>
      </c>
      <c r="AQ5" s="5">
        <v>77828.0</v>
      </c>
      <c r="AR5" s="5">
        <v>90134.0</v>
      </c>
      <c r="AS5" s="5">
        <v>88440.0</v>
      </c>
      <c r="AT5" s="5">
        <v>75609.0</v>
      </c>
      <c r="AU5" s="5">
        <v>65937.0</v>
      </c>
      <c r="AV5" s="5">
        <v>59468.0</v>
      </c>
      <c r="AW5" s="5">
        <v>51310.0</v>
      </c>
      <c r="AX5" s="5">
        <v>48093.0</v>
      </c>
      <c r="AY5" s="5">
        <v>40406.0</v>
      </c>
      <c r="AZ5" s="5">
        <v>33598.0</v>
      </c>
      <c r="BA5" s="5">
        <v>23366.0</v>
      </c>
      <c r="BB5" s="5">
        <v>16255.0</v>
      </c>
      <c r="BC5" s="5">
        <v>8486.0</v>
      </c>
      <c r="BD5" s="5">
        <v>10068.0</v>
      </c>
      <c r="BE5" s="4"/>
      <c r="BF5" s="4"/>
      <c r="BG5" s="4"/>
      <c r="BH5" s="4"/>
      <c r="BI5" s="4"/>
      <c r="BJ5" s="4"/>
    </row>
    <row r="6">
      <c r="A6" s="5"/>
      <c r="B6" s="5" t="s">
        <v>97</v>
      </c>
      <c r="C6" s="5">
        <v>425758.0</v>
      </c>
      <c r="D6" s="5">
        <v>38660.0</v>
      </c>
      <c r="E6" s="5">
        <v>36697.0</v>
      </c>
      <c r="F6" s="5">
        <v>34556.0</v>
      </c>
      <c r="G6" s="5">
        <v>31490.0</v>
      </c>
      <c r="H6" s="5">
        <v>43835.0</v>
      </c>
      <c r="I6" s="5">
        <v>46209.0</v>
      </c>
      <c r="J6" s="5">
        <v>39330.0</v>
      </c>
      <c r="K6" s="5">
        <v>33001.0</v>
      </c>
      <c r="L6" s="5">
        <v>28304.0</v>
      </c>
      <c r="M6" s="5">
        <v>23716.0</v>
      </c>
      <c r="N6" s="5">
        <v>20232.0</v>
      </c>
      <c r="O6" s="5">
        <v>16390.0</v>
      </c>
      <c r="P6" s="5">
        <v>12996.0</v>
      </c>
      <c r="Q6" s="5">
        <v>8772.0</v>
      </c>
      <c r="R6" s="5">
        <v>5793.0</v>
      </c>
      <c r="S6" s="5">
        <v>2942.0</v>
      </c>
      <c r="T6" s="5">
        <v>2835.0</v>
      </c>
      <c r="U6" s="5">
        <v>209013.0</v>
      </c>
      <c r="V6" s="5">
        <v>19973.0</v>
      </c>
      <c r="W6" s="5">
        <v>18721.0</v>
      </c>
      <c r="X6" s="5">
        <v>17753.0</v>
      </c>
      <c r="Y6" s="5">
        <v>15862.0</v>
      </c>
      <c r="Z6" s="5">
        <v>21696.0</v>
      </c>
      <c r="AA6" s="5">
        <v>23171.0</v>
      </c>
      <c r="AB6" s="5">
        <v>19868.0</v>
      </c>
      <c r="AC6" s="5">
        <v>16365.0</v>
      </c>
      <c r="AD6" s="5">
        <v>14035.0</v>
      </c>
      <c r="AE6" s="5">
        <v>11568.0</v>
      </c>
      <c r="AF6" s="5">
        <v>9582.0</v>
      </c>
      <c r="AG6" s="5">
        <v>7342.0</v>
      </c>
      <c r="AH6" s="5">
        <v>5582.0</v>
      </c>
      <c r="AI6" s="5">
        <v>3595.0</v>
      </c>
      <c r="AJ6" s="5">
        <v>2171.0</v>
      </c>
      <c r="AK6" s="5">
        <v>992.0</v>
      </c>
      <c r="AL6" s="5">
        <v>737.0</v>
      </c>
      <c r="AM6" s="5">
        <v>216745.0</v>
      </c>
      <c r="AN6" s="5">
        <v>18687.0</v>
      </c>
      <c r="AO6" s="5">
        <v>17976.0</v>
      </c>
      <c r="AP6" s="5">
        <v>16803.0</v>
      </c>
      <c r="AQ6" s="5">
        <v>15628.0</v>
      </c>
      <c r="AR6" s="5">
        <v>22139.0</v>
      </c>
      <c r="AS6" s="5">
        <v>23038.0</v>
      </c>
      <c r="AT6" s="5">
        <v>19462.0</v>
      </c>
      <c r="AU6" s="5">
        <v>16636.0</v>
      </c>
      <c r="AV6" s="5">
        <v>14269.0</v>
      </c>
      <c r="AW6" s="5">
        <v>12148.0</v>
      </c>
      <c r="AX6" s="5">
        <v>10650.0</v>
      </c>
      <c r="AY6" s="5">
        <v>9048.0</v>
      </c>
      <c r="AZ6" s="5">
        <v>7414.0</v>
      </c>
      <c r="BA6" s="5">
        <v>5177.0</v>
      </c>
      <c r="BB6" s="5">
        <v>3622.0</v>
      </c>
      <c r="BC6" s="5">
        <v>1950.0</v>
      </c>
      <c r="BD6" s="5">
        <v>2098.0</v>
      </c>
      <c r="BE6" s="4"/>
      <c r="BF6" s="4"/>
      <c r="BG6" s="4"/>
      <c r="BH6" s="4"/>
      <c r="BI6" s="4"/>
      <c r="BJ6" s="4"/>
    </row>
    <row r="7">
      <c r="A7" s="5"/>
      <c r="B7" s="5" t="s">
        <v>98</v>
      </c>
      <c r="C7" s="5">
        <v>456059.0</v>
      </c>
      <c r="D7" s="5">
        <v>42164.0</v>
      </c>
      <c r="E7" s="5">
        <v>42327.0</v>
      </c>
      <c r="F7" s="5">
        <v>41265.0</v>
      </c>
      <c r="G7" s="5">
        <v>38423.0</v>
      </c>
      <c r="H7" s="5">
        <v>40964.0</v>
      </c>
      <c r="I7" s="5">
        <v>40636.0</v>
      </c>
      <c r="J7" s="5">
        <v>36508.0</v>
      </c>
      <c r="K7" s="5">
        <v>32401.0</v>
      </c>
      <c r="L7" s="5">
        <v>29822.0</v>
      </c>
      <c r="M7" s="5">
        <v>26360.0</v>
      </c>
      <c r="N7" s="5">
        <v>23434.0</v>
      </c>
      <c r="O7" s="5">
        <v>19148.0</v>
      </c>
      <c r="P7" s="5">
        <v>15801.0</v>
      </c>
      <c r="Q7" s="5">
        <v>11171.0</v>
      </c>
      <c r="R7" s="5">
        <v>7419.0</v>
      </c>
      <c r="S7" s="5">
        <v>3789.0</v>
      </c>
      <c r="T7" s="5">
        <v>4427.0</v>
      </c>
      <c r="U7" s="5">
        <v>226189.0</v>
      </c>
      <c r="V7" s="5">
        <v>21808.0</v>
      </c>
      <c r="W7" s="5">
        <v>21934.0</v>
      </c>
      <c r="X7" s="5">
        <v>21502.0</v>
      </c>
      <c r="Y7" s="5">
        <v>19605.0</v>
      </c>
      <c r="Z7" s="5">
        <v>20686.0</v>
      </c>
      <c r="AA7" s="5">
        <v>20303.0</v>
      </c>
      <c r="AB7" s="5">
        <v>18606.0</v>
      </c>
      <c r="AC7" s="5">
        <v>16059.0</v>
      </c>
      <c r="AD7" s="5">
        <v>14799.0</v>
      </c>
      <c r="AE7" s="5">
        <v>12710.0</v>
      </c>
      <c r="AF7" s="5">
        <v>11256.0</v>
      </c>
      <c r="AG7" s="5">
        <v>9045.0</v>
      </c>
      <c r="AH7" s="5">
        <v>7281.0</v>
      </c>
      <c r="AI7" s="5">
        <v>4816.0</v>
      </c>
      <c r="AJ7" s="5">
        <v>3009.0</v>
      </c>
      <c r="AK7" s="5">
        <v>1357.0</v>
      </c>
      <c r="AL7" s="5">
        <v>1413.0</v>
      </c>
      <c r="AM7" s="5">
        <v>229870.0</v>
      </c>
      <c r="AN7" s="5">
        <v>20356.0</v>
      </c>
      <c r="AO7" s="5">
        <v>20393.0</v>
      </c>
      <c r="AP7" s="5">
        <v>19763.0</v>
      </c>
      <c r="AQ7" s="5">
        <v>18818.0</v>
      </c>
      <c r="AR7" s="5">
        <v>20278.0</v>
      </c>
      <c r="AS7" s="5">
        <v>20333.0</v>
      </c>
      <c r="AT7" s="5">
        <v>17902.0</v>
      </c>
      <c r="AU7" s="5">
        <v>16342.0</v>
      </c>
      <c r="AV7" s="5">
        <v>15023.0</v>
      </c>
      <c r="AW7" s="5">
        <v>13650.0</v>
      </c>
      <c r="AX7" s="5">
        <v>12178.0</v>
      </c>
      <c r="AY7" s="5">
        <v>10103.0</v>
      </c>
      <c r="AZ7" s="5">
        <v>8520.0</v>
      </c>
      <c r="BA7" s="5">
        <v>6355.0</v>
      </c>
      <c r="BB7" s="5">
        <v>4410.0</v>
      </c>
      <c r="BC7" s="5">
        <v>2432.0</v>
      </c>
      <c r="BD7" s="5">
        <v>3014.0</v>
      </c>
      <c r="BE7" s="4"/>
      <c r="BF7" s="4"/>
      <c r="BG7" s="4"/>
      <c r="BH7" s="4"/>
      <c r="BI7" s="4"/>
      <c r="BJ7" s="4"/>
    </row>
    <row r="8">
      <c r="A8" s="5"/>
      <c r="B8" s="5" t="s">
        <v>99</v>
      </c>
      <c r="C8" s="5">
        <v>803159.0</v>
      </c>
      <c r="D8" s="5">
        <v>81168.0</v>
      </c>
      <c r="E8" s="5">
        <v>78038.0</v>
      </c>
      <c r="F8" s="5">
        <v>71014.0</v>
      </c>
      <c r="G8" s="5">
        <v>65702.0</v>
      </c>
      <c r="H8" s="5">
        <v>72236.0</v>
      </c>
      <c r="I8" s="5">
        <v>76678.0</v>
      </c>
      <c r="J8" s="5">
        <v>71801.0</v>
      </c>
      <c r="K8" s="5">
        <v>62525.0</v>
      </c>
      <c r="L8" s="5">
        <v>54119.0</v>
      </c>
      <c r="M8" s="5">
        <v>43985.0</v>
      </c>
      <c r="N8" s="5">
        <v>37004.0</v>
      </c>
      <c r="O8" s="5">
        <v>29271.0</v>
      </c>
      <c r="P8" s="5">
        <v>23402.0</v>
      </c>
      <c r="Q8" s="5">
        <v>15962.0</v>
      </c>
      <c r="R8" s="5">
        <v>10223.0</v>
      </c>
      <c r="S8" s="5">
        <v>5029.0</v>
      </c>
      <c r="T8" s="5">
        <v>5002.0</v>
      </c>
      <c r="U8" s="5">
        <v>398811.0</v>
      </c>
      <c r="V8" s="5">
        <v>41784.0</v>
      </c>
      <c r="W8" s="5">
        <v>40420.0</v>
      </c>
      <c r="X8" s="5">
        <v>36889.0</v>
      </c>
      <c r="Y8" s="5">
        <v>33289.0</v>
      </c>
      <c r="Z8" s="5">
        <v>35936.0</v>
      </c>
      <c r="AA8" s="5">
        <v>38111.0</v>
      </c>
      <c r="AB8" s="5">
        <v>36306.0</v>
      </c>
      <c r="AC8" s="5">
        <v>31552.0</v>
      </c>
      <c r="AD8" s="5">
        <v>26894.0</v>
      </c>
      <c r="AE8" s="5">
        <v>21675.0</v>
      </c>
      <c r="AF8" s="5">
        <v>17757.0</v>
      </c>
      <c r="AG8" s="5">
        <v>13618.0</v>
      </c>
      <c r="AH8" s="5">
        <v>10349.0</v>
      </c>
      <c r="AI8" s="5">
        <v>6676.0</v>
      </c>
      <c r="AJ8" s="5">
        <v>4246.0</v>
      </c>
      <c r="AK8" s="5">
        <v>1774.0</v>
      </c>
      <c r="AL8" s="5">
        <v>1535.0</v>
      </c>
      <c r="AM8" s="5">
        <v>404348.0</v>
      </c>
      <c r="AN8" s="5">
        <v>39384.0</v>
      </c>
      <c r="AO8" s="5">
        <v>37618.0</v>
      </c>
      <c r="AP8" s="5">
        <v>34125.0</v>
      </c>
      <c r="AQ8" s="5">
        <v>32413.0</v>
      </c>
      <c r="AR8" s="5">
        <v>36300.0</v>
      </c>
      <c r="AS8" s="5">
        <v>38567.0</v>
      </c>
      <c r="AT8" s="5">
        <v>35495.0</v>
      </c>
      <c r="AU8" s="5">
        <v>30973.0</v>
      </c>
      <c r="AV8" s="5">
        <v>27225.0</v>
      </c>
      <c r="AW8" s="5">
        <v>22310.0</v>
      </c>
      <c r="AX8" s="5">
        <v>19247.0</v>
      </c>
      <c r="AY8" s="5">
        <v>15653.0</v>
      </c>
      <c r="AZ8" s="5">
        <v>13053.0</v>
      </c>
      <c r="BA8" s="5">
        <v>9286.0</v>
      </c>
      <c r="BB8" s="5">
        <v>5977.0</v>
      </c>
      <c r="BC8" s="5">
        <v>3255.0</v>
      </c>
      <c r="BD8" s="5">
        <v>3467.0</v>
      </c>
      <c r="BE8" s="4"/>
      <c r="BF8" s="4"/>
      <c r="BG8" s="4"/>
      <c r="BH8" s="4"/>
      <c r="BI8" s="4"/>
      <c r="BJ8" s="4"/>
    </row>
    <row r="9">
      <c r="A9" s="5"/>
      <c r="B9" s="5" t="s">
        <v>100</v>
      </c>
      <c r="C9" s="5">
        <v>2960048.0</v>
      </c>
      <c r="D9" s="5">
        <v>291246.0</v>
      </c>
      <c r="E9" s="5">
        <v>276602.0</v>
      </c>
      <c r="F9" s="5">
        <v>258587.0</v>
      </c>
      <c r="G9" s="5">
        <v>242000.0</v>
      </c>
      <c r="H9" s="5">
        <v>275540.0</v>
      </c>
      <c r="I9" s="5">
        <v>277852.0</v>
      </c>
      <c r="J9" s="5">
        <v>253250.0</v>
      </c>
      <c r="K9" s="5">
        <v>220352.0</v>
      </c>
      <c r="L9" s="5">
        <v>195936.0</v>
      </c>
      <c r="M9" s="5">
        <v>166339.0</v>
      </c>
      <c r="N9" s="5">
        <v>146739.0</v>
      </c>
      <c r="O9" s="5">
        <v>119890.0</v>
      </c>
      <c r="P9" s="5">
        <v>94493.0</v>
      </c>
      <c r="Q9" s="5">
        <v>61637.0</v>
      </c>
      <c r="R9" s="5">
        <v>37992.0</v>
      </c>
      <c r="S9" s="5">
        <v>19925.0</v>
      </c>
      <c r="T9" s="5">
        <v>21668.0</v>
      </c>
      <c r="U9" s="5">
        <v>1471795.0</v>
      </c>
      <c r="V9" s="5">
        <v>150043.0</v>
      </c>
      <c r="W9" s="5">
        <v>143243.0</v>
      </c>
      <c r="X9" s="5">
        <v>134265.0</v>
      </c>
      <c r="Y9" s="5">
        <v>122666.0</v>
      </c>
      <c r="Z9" s="5">
        <v>138255.0</v>
      </c>
      <c r="AA9" s="5">
        <v>140263.0</v>
      </c>
      <c r="AB9" s="5">
        <v>129117.0</v>
      </c>
      <c r="AC9" s="5">
        <v>110813.0</v>
      </c>
      <c r="AD9" s="5">
        <v>97025.0</v>
      </c>
      <c r="AE9" s="5">
        <v>81606.0</v>
      </c>
      <c r="AF9" s="5">
        <v>70154.0</v>
      </c>
      <c r="AG9" s="5">
        <v>55865.0</v>
      </c>
      <c r="AH9" s="5">
        <v>42848.0</v>
      </c>
      <c r="AI9" s="5">
        <v>26784.0</v>
      </c>
      <c r="AJ9" s="5">
        <v>15431.0</v>
      </c>
      <c r="AK9" s="5">
        <v>7170.0</v>
      </c>
      <c r="AL9" s="5">
        <v>6247.0</v>
      </c>
      <c r="AM9" s="5">
        <v>1488253.0</v>
      </c>
      <c r="AN9" s="5">
        <v>141203.0</v>
      </c>
      <c r="AO9" s="5">
        <v>133359.0</v>
      </c>
      <c r="AP9" s="5">
        <v>124322.0</v>
      </c>
      <c r="AQ9" s="5">
        <v>119334.0</v>
      </c>
      <c r="AR9" s="5">
        <v>137285.0</v>
      </c>
      <c r="AS9" s="5">
        <v>137589.0</v>
      </c>
      <c r="AT9" s="5">
        <v>124133.0</v>
      </c>
      <c r="AU9" s="5">
        <v>109539.0</v>
      </c>
      <c r="AV9" s="5">
        <v>98911.0</v>
      </c>
      <c r="AW9" s="5">
        <v>84733.0</v>
      </c>
      <c r="AX9" s="5">
        <v>76585.0</v>
      </c>
      <c r="AY9" s="5">
        <v>64025.0</v>
      </c>
      <c r="AZ9" s="5">
        <v>51645.0</v>
      </c>
      <c r="BA9" s="5">
        <v>34853.0</v>
      </c>
      <c r="BB9" s="5">
        <v>22561.0</v>
      </c>
      <c r="BC9" s="5">
        <v>12755.0</v>
      </c>
      <c r="BD9" s="5">
        <v>15421.0</v>
      </c>
      <c r="BE9" s="4"/>
      <c r="BF9" s="4"/>
      <c r="BG9" s="4"/>
      <c r="BH9" s="4"/>
      <c r="BI9" s="4"/>
      <c r="BJ9" s="4"/>
    </row>
    <row r="10">
      <c r="A10" s="5"/>
      <c r="B10" s="5" t="s">
        <v>101</v>
      </c>
      <c r="C10" s="5">
        <v>126347.0</v>
      </c>
      <c r="D10" s="5">
        <v>10696.0</v>
      </c>
      <c r="E10" s="5">
        <v>10059.0</v>
      </c>
      <c r="F10" s="5">
        <v>9611.0</v>
      </c>
      <c r="G10" s="5">
        <v>8966.0</v>
      </c>
      <c r="H10" s="5">
        <v>11756.0</v>
      </c>
      <c r="I10" s="5">
        <v>11645.0</v>
      </c>
      <c r="J10" s="5">
        <v>10954.0</v>
      </c>
      <c r="K10" s="5">
        <v>9772.0</v>
      </c>
      <c r="L10" s="5">
        <v>8977.0</v>
      </c>
      <c r="M10" s="5">
        <v>7741.0</v>
      </c>
      <c r="N10" s="5">
        <v>6915.0</v>
      </c>
      <c r="O10" s="5">
        <v>6040.0</v>
      </c>
      <c r="P10" s="5">
        <v>4829.0</v>
      </c>
      <c r="Q10" s="5">
        <v>3376.0</v>
      </c>
      <c r="R10" s="5">
        <v>2286.0</v>
      </c>
      <c r="S10" s="5">
        <v>1237.0</v>
      </c>
      <c r="T10" s="5">
        <v>1487.0</v>
      </c>
      <c r="U10" s="5">
        <v>61222.0</v>
      </c>
      <c r="V10" s="5">
        <v>5503.0</v>
      </c>
      <c r="W10" s="5">
        <v>5200.0</v>
      </c>
      <c r="X10" s="5">
        <v>5058.0</v>
      </c>
      <c r="Y10" s="5">
        <v>4573.0</v>
      </c>
      <c r="Z10" s="5">
        <v>5728.0</v>
      </c>
      <c r="AA10" s="5">
        <v>5711.0</v>
      </c>
      <c r="AB10" s="5">
        <v>5457.0</v>
      </c>
      <c r="AC10" s="5">
        <v>4795.0</v>
      </c>
      <c r="AD10" s="5">
        <v>4294.0</v>
      </c>
      <c r="AE10" s="5">
        <v>3716.0</v>
      </c>
      <c r="AF10" s="5">
        <v>3312.0</v>
      </c>
      <c r="AG10" s="5">
        <v>2693.0</v>
      </c>
      <c r="AH10" s="5">
        <v>2065.0</v>
      </c>
      <c r="AI10" s="5">
        <v>1360.0</v>
      </c>
      <c r="AJ10" s="5">
        <v>960.0</v>
      </c>
      <c r="AK10" s="5">
        <v>383.0</v>
      </c>
      <c r="AL10" s="5">
        <v>414.0</v>
      </c>
      <c r="AM10" s="5">
        <v>65125.0</v>
      </c>
      <c r="AN10" s="5">
        <v>5193.0</v>
      </c>
      <c r="AO10" s="5">
        <v>4859.0</v>
      </c>
      <c r="AP10" s="5">
        <v>4553.0</v>
      </c>
      <c r="AQ10" s="5">
        <v>4393.0</v>
      </c>
      <c r="AR10" s="5">
        <v>6028.0</v>
      </c>
      <c r="AS10" s="5">
        <v>5934.0</v>
      </c>
      <c r="AT10" s="5">
        <v>5497.0</v>
      </c>
      <c r="AU10" s="5">
        <v>4977.0</v>
      </c>
      <c r="AV10" s="5">
        <v>4683.0</v>
      </c>
      <c r="AW10" s="5">
        <v>4025.0</v>
      </c>
      <c r="AX10" s="5">
        <v>3603.0</v>
      </c>
      <c r="AY10" s="5">
        <v>3347.0</v>
      </c>
      <c r="AZ10" s="5">
        <v>2764.0</v>
      </c>
      <c r="BA10" s="5">
        <v>2016.0</v>
      </c>
      <c r="BB10" s="5">
        <v>1326.0</v>
      </c>
      <c r="BC10" s="5">
        <v>854.0</v>
      </c>
      <c r="BD10" s="5">
        <v>1073.0</v>
      </c>
      <c r="BE10" s="4"/>
      <c r="BF10" s="4"/>
      <c r="BG10" s="4"/>
      <c r="BH10" s="4"/>
      <c r="BI10" s="4"/>
      <c r="BJ10" s="4"/>
    </row>
    <row r="11">
      <c r="A11" s="5"/>
      <c r="B11" s="5" t="s">
        <v>102</v>
      </c>
      <c r="C11" s="5">
        <v>1661584.0</v>
      </c>
      <c r="D11" s="5">
        <v>167269.0</v>
      </c>
      <c r="E11" s="5">
        <v>164484.0</v>
      </c>
      <c r="F11" s="5">
        <v>156994.0</v>
      </c>
      <c r="G11" s="5">
        <v>149975.0</v>
      </c>
      <c r="H11" s="5">
        <v>158387.0</v>
      </c>
      <c r="I11" s="5">
        <v>152889.0</v>
      </c>
      <c r="J11" s="5">
        <v>135349.0</v>
      </c>
      <c r="K11" s="5">
        <v>119025.0</v>
      </c>
      <c r="L11" s="5">
        <v>105898.0</v>
      </c>
      <c r="M11" s="5">
        <v>89491.0</v>
      </c>
      <c r="N11" s="5">
        <v>79421.0</v>
      </c>
      <c r="O11" s="5">
        <v>63983.0</v>
      </c>
      <c r="P11" s="5">
        <v>49830.0</v>
      </c>
      <c r="Q11" s="5">
        <v>31335.0</v>
      </c>
      <c r="R11" s="5">
        <v>18958.0</v>
      </c>
      <c r="S11" s="5">
        <v>9481.0</v>
      </c>
      <c r="T11" s="5">
        <v>8815.0</v>
      </c>
      <c r="U11" s="5">
        <v>837899.0</v>
      </c>
      <c r="V11" s="5">
        <v>87003.0</v>
      </c>
      <c r="W11" s="5">
        <v>85680.0</v>
      </c>
      <c r="X11" s="5">
        <v>80821.0</v>
      </c>
      <c r="Y11" s="5">
        <v>76925.0</v>
      </c>
      <c r="Z11" s="5">
        <v>79984.0</v>
      </c>
      <c r="AA11" s="5">
        <v>77689.0</v>
      </c>
      <c r="AB11" s="5">
        <v>69481.0</v>
      </c>
      <c r="AC11" s="5">
        <v>60490.0</v>
      </c>
      <c r="AD11" s="5">
        <v>53479.0</v>
      </c>
      <c r="AE11" s="5">
        <v>45097.0</v>
      </c>
      <c r="AF11" s="5">
        <v>39275.0</v>
      </c>
      <c r="AG11" s="5">
        <v>30718.0</v>
      </c>
      <c r="AH11" s="5">
        <v>23558.0</v>
      </c>
      <c r="AI11" s="5">
        <v>14057.0</v>
      </c>
      <c r="AJ11" s="5">
        <v>7669.0</v>
      </c>
      <c r="AK11" s="5">
        <v>3390.0</v>
      </c>
      <c r="AL11" s="5">
        <v>2583.0</v>
      </c>
      <c r="AM11" s="5">
        <v>823685.0</v>
      </c>
      <c r="AN11" s="5">
        <v>80266.0</v>
      </c>
      <c r="AO11" s="5">
        <v>78804.0</v>
      </c>
      <c r="AP11" s="5">
        <v>76173.0</v>
      </c>
      <c r="AQ11" s="5">
        <v>73050.0</v>
      </c>
      <c r="AR11" s="5">
        <v>78403.0</v>
      </c>
      <c r="AS11" s="5">
        <v>75200.0</v>
      </c>
      <c r="AT11" s="5">
        <v>65868.0</v>
      </c>
      <c r="AU11" s="5">
        <v>58535.0</v>
      </c>
      <c r="AV11" s="5">
        <v>52419.0</v>
      </c>
      <c r="AW11" s="5">
        <v>44394.0</v>
      </c>
      <c r="AX11" s="5">
        <v>40146.0</v>
      </c>
      <c r="AY11" s="5">
        <v>33265.0</v>
      </c>
      <c r="AZ11" s="5">
        <v>26272.0</v>
      </c>
      <c r="BA11" s="5">
        <v>17278.0</v>
      </c>
      <c r="BB11" s="5">
        <v>11289.0</v>
      </c>
      <c r="BC11" s="5">
        <v>6091.0</v>
      </c>
      <c r="BD11" s="5">
        <v>6232.0</v>
      </c>
      <c r="BE11" s="4"/>
      <c r="BF11" s="4"/>
      <c r="BG11" s="4"/>
      <c r="BH11" s="4"/>
      <c r="BI11" s="4"/>
      <c r="BJ11" s="4"/>
    </row>
    <row r="12">
      <c r="A12" s="5"/>
      <c r="B12" s="5" t="s">
        <v>103</v>
      </c>
      <c r="C12" s="5">
        <v>380522.0</v>
      </c>
      <c r="D12" s="5">
        <v>35986.0</v>
      </c>
      <c r="E12" s="5">
        <v>36534.0</v>
      </c>
      <c r="F12" s="5">
        <v>35823.0</v>
      </c>
      <c r="G12" s="5">
        <v>34493.0</v>
      </c>
      <c r="H12" s="5">
        <v>36974.0</v>
      </c>
      <c r="I12" s="5">
        <v>34532.0</v>
      </c>
      <c r="J12" s="5">
        <v>30467.0</v>
      </c>
      <c r="K12" s="5">
        <v>27037.0</v>
      </c>
      <c r="L12" s="5">
        <v>24764.0</v>
      </c>
      <c r="M12" s="5">
        <v>20969.0</v>
      </c>
      <c r="N12" s="5">
        <v>18217.0</v>
      </c>
      <c r="O12" s="5">
        <v>15027.0</v>
      </c>
      <c r="P12" s="5">
        <v>11968.0</v>
      </c>
      <c r="Q12" s="5">
        <v>7821.0</v>
      </c>
      <c r="R12" s="5">
        <v>5075.0</v>
      </c>
      <c r="S12" s="5">
        <v>2414.0</v>
      </c>
      <c r="T12" s="5">
        <v>2421.0</v>
      </c>
      <c r="U12" s="5">
        <v>192566.0</v>
      </c>
      <c r="V12" s="5">
        <v>18638.0</v>
      </c>
      <c r="W12" s="5">
        <v>19033.0</v>
      </c>
      <c r="X12" s="5">
        <v>18540.0</v>
      </c>
      <c r="Y12" s="5">
        <v>17742.0</v>
      </c>
      <c r="Z12" s="5">
        <v>18807.0</v>
      </c>
      <c r="AA12" s="5">
        <v>17782.0</v>
      </c>
      <c r="AB12" s="5">
        <v>15833.0</v>
      </c>
      <c r="AC12" s="5">
        <v>13719.0</v>
      </c>
      <c r="AD12" s="5">
        <v>12564.0</v>
      </c>
      <c r="AE12" s="5">
        <v>10628.0</v>
      </c>
      <c r="AF12" s="5">
        <v>9089.0</v>
      </c>
      <c r="AG12" s="5">
        <v>7353.0</v>
      </c>
      <c r="AH12" s="5">
        <v>5570.0</v>
      </c>
      <c r="AI12" s="5">
        <v>3518.0</v>
      </c>
      <c r="AJ12" s="5">
        <v>2130.0</v>
      </c>
      <c r="AK12" s="5">
        <v>911.0</v>
      </c>
      <c r="AL12" s="5">
        <v>709.0</v>
      </c>
      <c r="AM12" s="5">
        <v>187956.0</v>
      </c>
      <c r="AN12" s="5">
        <v>17348.0</v>
      </c>
      <c r="AO12" s="5">
        <v>17501.0</v>
      </c>
      <c r="AP12" s="5">
        <v>17283.0</v>
      </c>
      <c r="AQ12" s="5">
        <v>16751.0</v>
      </c>
      <c r="AR12" s="5">
        <v>18167.0</v>
      </c>
      <c r="AS12" s="5">
        <v>16750.0</v>
      </c>
      <c r="AT12" s="5">
        <v>14634.0</v>
      </c>
      <c r="AU12" s="5">
        <v>13318.0</v>
      </c>
      <c r="AV12" s="5">
        <v>12200.0</v>
      </c>
      <c r="AW12" s="5">
        <v>10341.0</v>
      </c>
      <c r="AX12" s="5">
        <v>9128.0</v>
      </c>
      <c r="AY12" s="5">
        <v>7674.0</v>
      </c>
      <c r="AZ12" s="5">
        <v>6398.0</v>
      </c>
      <c r="BA12" s="5">
        <v>4303.0</v>
      </c>
      <c r="BB12" s="5">
        <v>2945.0</v>
      </c>
      <c r="BC12" s="5">
        <v>1503.0</v>
      </c>
      <c r="BD12" s="5">
        <v>1712.0</v>
      </c>
      <c r="BE12" s="4"/>
      <c r="BF12" s="4"/>
      <c r="BG12" s="4"/>
      <c r="BH12" s="4"/>
      <c r="BI12" s="4"/>
      <c r="BJ12" s="4"/>
    </row>
    <row r="13">
      <c r="A13" s="5"/>
      <c r="B13" s="5" t="s">
        <v>104</v>
      </c>
      <c r="C13" s="5">
        <v>247543.0</v>
      </c>
      <c r="D13" s="5">
        <v>25338.0</v>
      </c>
      <c r="E13" s="5">
        <v>25716.0</v>
      </c>
      <c r="F13" s="5">
        <v>24387.0</v>
      </c>
      <c r="G13" s="5">
        <v>23157.0</v>
      </c>
      <c r="H13" s="5">
        <v>23449.0</v>
      </c>
      <c r="I13" s="5">
        <v>21495.0</v>
      </c>
      <c r="J13" s="5">
        <v>19208.0</v>
      </c>
      <c r="K13" s="5">
        <v>16910.0</v>
      </c>
      <c r="L13" s="5">
        <v>15592.0</v>
      </c>
      <c r="M13" s="5">
        <v>13222.0</v>
      </c>
      <c r="N13" s="5">
        <v>11433.0</v>
      </c>
      <c r="O13" s="5">
        <v>9450.0</v>
      </c>
      <c r="P13" s="5">
        <v>7373.0</v>
      </c>
      <c r="Q13" s="5">
        <v>4933.0</v>
      </c>
      <c r="R13" s="5">
        <v>3069.0</v>
      </c>
      <c r="S13" s="5">
        <v>1513.0</v>
      </c>
      <c r="T13" s="5">
        <v>1298.0</v>
      </c>
      <c r="U13" s="5">
        <v>126440.0</v>
      </c>
      <c r="V13" s="5">
        <v>13151.0</v>
      </c>
      <c r="W13" s="5">
        <v>13545.0</v>
      </c>
      <c r="X13" s="5">
        <v>12531.0</v>
      </c>
      <c r="Y13" s="5">
        <v>11896.0</v>
      </c>
      <c r="Z13" s="5">
        <v>12043.0</v>
      </c>
      <c r="AA13" s="5">
        <v>11072.0</v>
      </c>
      <c r="AB13" s="5">
        <v>10028.0</v>
      </c>
      <c r="AC13" s="5">
        <v>8650.0</v>
      </c>
      <c r="AD13" s="5">
        <v>8103.0</v>
      </c>
      <c r="AE13" s="5">
        <v>6853.0</v>
      </c>
      <c r="AF13" s="5">
        <v>5725.0</v>
      </c>
      <c r="AG13" s="5">
        <v>4756.0</v>
      </c>
      <c r="AH13" s="5">
        <v>3634.0</v>
      </c>
      <c r="AI13" s="5">
        <v>2284.0</v>
      </c>
      <c r="AJ13" s="5">
        <v>1213.0</v>
      </c>
      <c r="AK13" s="5">
        <v>568.0</v>
      </c>
      <c r="AL13" s="5">
        <v>388.0</v>
      </c>
      <c r="AM13" s="5">
        <v>121103.0</v>
      </c>
      <c r="AN13" s="5">
        <v>12187.0</v>
      </c>
      <c r="AO13" s="5">
        <v>12171.0</v>
      </c>
      <c r="AP13" s="5">
        <v>11856.0</v>
      </c>
      <c r="AQ13" s="5">
        <v>11261.0</v>
      </c>
      <c r="AR13" s="5">
        <v>11406.0</v>
      </c>
      <c r="AS13" s="5">
        <v>10423.0</v>
      </c>
      <c r="AT13" s="5">
        <v>9180.0</v>
      </c>
      <c r="AU13" s="5">
        <v>8260.0</v>
      </c>
      <c r="AV13" s="5">
        <v>7489.0</v>
      </c>
      <c r="AW13" s="5">
        <v>6369.0</v>
      </c>
      <c r="AX13" s="5">
        <v>5708.0</v>
      </c>
      <c r="AY13" s="5">
        <v>4694.0</v>
      </c>
      <c r="AZ13" s="5">
        <v>3739.0</v>
      </c>
      <c r="BA13" s="5">
        <v>2649.0</v>
      </c>
      <c r="BB13" s="5">
        <v>1856.0</v>
      </c>
      <c r="BC13" s="5">
        <v>945.0</v>
      </c>
      <c r="BD13" s="5">
        <v>910.0</v>
      </c>
      <c r="BE13" s="4"/>
      <c r="BF13" s="4"/>
      <c r="BG13" s="4"/>
      <c r="BH13" s="4"/>
      <c r="BI13" s="4"/>
      <c r="BJ13" s="4"/>
    </row>
    <row r="14">
      <c r="A14" s="5"/>
      <c r="B14" s="5" t="s">
        <v>105</v>
      </c>
      <c r="C14" s="5">
        <v>714978.0</v>
      </c>
      <c r="D14" s="5">
        <v>66787.0</v>
      </c>
      <c r="E14" s="5">
        <v>65224.0</v>
      </c>
      <c r="F14" s="5">
        <v>65994.0</v>
      </c>
      <c r="G14" s="5">
        <v>62772.0</v>
      </c>
      <c r="H14" s="5">
        <v>69784.0</v>
      </c>
      <c r="I14" s="5">
        <v>69004.0</v>
      </c>
      <c r="J14" s="5">
        <v>62771.0</v>
      </c>
      <c r="K14" s="5">
        <v>54810.0</v>
      </c>
      <c r="L14" s="5">
        <v>48897.0</v>
      </c>
      <c r="M14" s="5">
        <v>39502.0</v>
      </c>
      <c r="N14" s="5">
        <v>32955.0</v>
      </c>
      <c r="O14" s="5">
        <v>26238.0</v>
      </c>
      <c r="P14" s="5">
        <v>20033.0</v>
      </c>
      <c r="Q14" s="5">
        <v>13676.0</v>
      </c>
      <c r="R14" s="5">
        <v>8385.0</v>
      </c>
      <c r="S14" s="5">
        <v>4151.0</v>
      </c>
      <c r="T14" s="5">
        <v>3995.0</v>
      </c>
      <c r="U14" s="5">
        <v>364119.0</v>
      </c>
      <c r="V14" s="5">
        <v>34607.0</v>
      </c>
      <c r="W14" s="5">
        <v>33947.0</v>
      </c>
      <c r="X14" s="5">
        <v>34162.0</v>
      </c>
      <c r="Y14" s="5">
        <v>32037.0</v>
      </c>
      <c r="Z14" s="5">
        <v>35957.0</v>
      </c>
      <c r="AA14" s="5">
        <v>35875.0</v>
      </c>
      <c r="AB14" s="5">
        <v>32913.0</v>
      </c>
      <c r="AC14" s="5">
        <v>28303.0</v>
      </c>
      <c r="AD14" s="5">
        <v>25044.0</v>
      </c>
      <c r="AE14" s="5">
        <v>20122.0</v>
      </c>
      <c r="AF14" s="5">
        <v>16509.0</v>
      </c>
      <c r="AG14" s="5">
        <v>12794.0</v>
      </c>
      <c r="AH14" s="5">
        <v>9525.0</v>
      </c>
      <c r="AI14" s="5">
        <v>6119.0</v>
      </c>
      <c r="AJ14" s="5">
        <v>3500.0</v>
      </c>
      <c r="AK14" s="5">
        <v>1528.0</v>
      </c>
      <c r="AL14" s="5">
        <v>1177.0</v>
      </c>
      <c r="AM14" s="5">
        <v>350859.0</v>
      </c>
      <c r="AN14" s="5">
        <v>32180.0</v>
      </c>
      <c r="AO14" s="5">
        <v>31277.0</v>
      </c>
      <c r="AP14" s="5">
        <v>31832.0</v>
      </c>
      <c r="AQ14" s="5">
        <v>30735.0</v>
      </c>
      <c r="AR14" s="5">
        <v>33827.0</v>
      </c>
      <c r="AS14" s="5">
        <v>33129.0</v>
      </c>
      <c r="AT14" s="5">
        <v>29858.0</v>
      </c>
      <c r="AU14" s="5">
        <v>26507.0</v>
      </c>
      <c r="AV14" s="5">
        <v>23853.0</v>
      </c>
      <c r="AW14" s="5">
        <v>19380.0</v>
      </c>
      <c r="AX14" s="5">
        <v>16446.0</v>
      </c>
      <c r="AY14" s="5">
        <v>13444.0</v>
      </c>
      <c r="AZ14" s="5">
        <v>10508.0</v>
      </c>
      <c r="BA14" s="5">
        <v>7557.0</v>
      </c>
      <c r="BB14" s="5">
        <v>4885.0</v>
      </c>
      <c r="BC14" s="5">
        <v>2623.0</v>
      </c>
      <c r="BD14" s="5">
        <v>2818.0</v>
      </c>
      <c r="BE14" s="4"/>
      <c r="BF14" s="4"/>
      <c r="BG14" s="4"/>
      <c r="BH14" s="4"/>
      <c r="BI14" s="4"/>
      <c r="BJ14" s="4"/>
    </row>
    <row r="15">
      <c r="A15" s="5"/>
      <c r="B15" s="5" t="s">
        <v>106</v>
      </c>
      <c r="C15" s="5">
        <v>606293.0</v>
      </c>
      <c r="D15" s="5">
        <v>55383.0</v>
      </c>
      <c r="E15" s="5">
        <v>55201.0</v>
      </c>
      <c r="F15" s="5">
        <v>52619.0</v>
      </c>
      <c r="G15" s="5">
        <v>50753.0</v>
      </c>
      <c r="H15" s="5">
        <v>57951.0</v>
      </c>
      <c r="I15" s="5">
        <v>56552.0</v>
      </c>
      <c r="J15" s="5">
        <v>52003.0</v>
      </c>
      <c r="K15" s="5">
        <v>46275.0</v>
      </c>
      <c r="L15" s="5">
        <v>41640.0</v>
      </c>
      <c r="M15" s="5">
        <v>34677.0</v>
      </c>
      <c r="N15" s="5">
        <v>29343.0</v>
      </c>
      <c r="O15" s="5">
        <v>23675.0</v>
      </c>
      <c r="P15" s="5">
        <v>19277.0</v>
      </c>
      <c r="Q15" s="5">
        <v>13600.0</v>
      </c>
      <c r="R15" s="5">
        <v>8859.0</v>
      </c>
      <c r="S15" s="5">
        <v>4396.0</v>
      </c>
      <c r="T15" s="5">
        <v>4089.0</v>
      </c>
      <c r="U15" s="5">
        <v>301241.0</v>
      </c>
      <c r="V15" s="5">
        <v>28615.0</v>
      </c>
      <c r="W15" s="5">
        <v>28705.0</v>
      </c>
      <c r="X15" s="5">
        <v>27229.0</v>
      </c>
      <c r="Y15" s="5">
        <v>25843.0</v>
      </c>
      <c r="Z15" s="5">
        <v>29278.0</v>
      </c>
      <c r="AA15" s="5">
        <v>28474.0</v>
      </c>
      <c r="AB15" s="5">
        <v>26393.0</v>
      </c>
      <c r="AC15" s="5">
        <v>22911.0</v>
      </c>
      <c r="AD15" s="5">
        <v>20462.0</v>
      </c>
      <c r="AE15" s="5">
        <v>17109.0</v>
      </c>
      <c r="AF15" s="5">
        <v>14011.0</v>
      </c>
      <c r="AG15" s="5">
        <v>10965.0</v>
      </c>
      <c r="AH15" s="5">
        <v>8654.0</v>
      </c>
      <c r="AI15" s="5">
        <v>5949.0</v>
      </c>
      <c r="AJ15" s="5">
        <v>3709.0</v>
      </c>
      <c r="AK15" s="5">
        <v>1657.0</v>
      </c>
      <c r="AL15" s="5">
        <v>1277.0</v>
      </c>
      <c r="AM15" s="5">
        <v>305052.0</v>
      </c>
      <c r="AN15" s="5">
        <v>26768.0</v>
      </c>
      <c r="AO15" s="5">
        <v>26496.0</v>
      </c>
      <c r="AP15" s="5">
        <v>25390.0</v>
      </c>
      <c r="AQ15" s="5">
        <v>24910.0</v>
      </c>
      <c r="AR15" s="5">
        <v>28673.0</v>
      </c>
      <c r="AS15" s="5">
        <v>28078.0</v>
      </c>
      <c r="AT15" s="5">
        <v>25610.0</v>
      </c>
      <c r="AU15" s="5">
        <v>23364.0</v>
      </c>
      <c r="AV15" s="5">
        <v>21178.0</v>
      </c>
      <c r="AW15" s="5">
        <v>17568.0</v>
      </c>
      <c r="AX15" s="5">
        <v>15332.0</v>
      </c>
      <c r="AY15" s="5">
        <v>12710.0</v>
      </c>
      <c r="AZ15" s="5">
        <v>10623.0</v>
      </c>
      <c r="BA15" s="5">
        <v>7651.0</v>
      </c>
      <c r="BB15" s="5">
        <v>5150.0</v>
      </c>
      <c r="BC15" s="5">
        <v>2739.0</v>
      </c>
      <c r="BD15" s="5">
        <v>2812.0</v>
      </c>
      <c r="BE15" s="4"/>
      <c r="BF15" s="4"/>
      <c r="BG15" s="4"/>
      <c r="BH15" s="4"/>
      <c r="BI15" s="4"/>
      <c r="BJ15" s="4"/>
    </row>
    <row r="16">
      <c r="A16" s="5"/>
      <c r="B16" s="5" t="s">
        <v>107</v>
      </c>
      <c r="C16" s="5">
        <v>629616.0</v>
      </c>
      <c r="D16" s="5">
        <v>52781.0</v>
      </c>
      <c r="E16" s="5">
        <v>47946.0</v>
      </c>
      <c r="F16" s="5">
        <v>45475.0</v>
      </c>
      <c r="G16" s="5">
        <v>42940.0</v>
      </c>
      <c r="H16" s="5">
        <v>56905.0</v>
      </c>
      <c r="I16" s="5">
        <v>66246.0</v>
      </c>
      <c r="J16" s="5">
        <v>64133.0</v>
      </c>
      <c r="K16" s="5">
        <v>52730.0</v>
      </c>
      <c r="L16" s="5">
        <v>43207.0</v>
      </c>
      <c r="M16" s="5">
        <v>35790.0</v>
      </c>
      <c r="N16" s="5">
        <v>32104.0</v>
      </c>
      <c r="O16" s="5">
        <v>28022.0</v>
      </c>
      <c r="P16" s="5">
        <v>24244.0</v>
      </c>
      <c r="Q16" s="5">
        <v>15978.0</v>
      </c>
      <c r="R16" s="5">
        <v>9967.0</v>
      </c>
      <c r="S16" s="5">
        <v>5041.0</v>
      </c>
      <c r="T16" s="5">
        <v>6107.0</v>
      </c>
      <c r="U16" s="5">
        <v>308003.0</v>
      </c>
      <c r="V16" s="5">
        <v>26913.0</v>
      </c>
      <c r="W16" s="5">
        <v>24778.0</v>
      </c>
      <c r="X16" s="5">
        <v>23568.0</v>
      </c>
      <c r="Y16" s="5">
        <v>21772.0</v>
      </c>
      <c r="Z16" s="5">
        <v>27830.0</v>
      </c>
      <c r="AA16" s="5">
        <v>32979.0</v>
      </c>
      <c r="AB16" s="5">
        <v>32754.0</v>
      </c>
      <c r="AC16" s="5">
        <v>26255.0</v>
      </c>
      <c r="AD16" s="5">
        <v>21306.0</v>
      </c>
      <c r="AE16" s="5">
        <v>17190.0</v>
      </c>
      <c r="AF16" s="5">
        <v>14889.0</v>
      </c>
      <c r="AG16" s="5">
        <v>12718.0</v>
      </c>
      <c r="AH16" s="5">
        <v>10729.0</v>
      </c>
      <c r="AI16" s="5">
        <v>6783.0</v>
      </c>
      <c r="AJ16" s="5">
        <v>3979.0</v>
      </c>
      <c r="AK16" s="5">
        <v>1766.0</v>
      </c>
      <c r="AL16" s="5">
        <v>1794.0</v>
      </c>
      <c r="AM16" s="5">
        <v>321613.0</v>
      </c>
      <c r="AN16" s="5">
        <v>25868.0</v>
      </c>
      <c r="AO16" s="5">
        <v>23168.0</v>
      </c>
      <c r="AP16" s="5">
        <v>21907.0</v>
      </c>
      <c r="AQ16" s="5">
        <v>21168.0</v>
      </c>
      <c r="AR16" s="5">
        <v>29075.0</v>
      </c>
      <c r="AS16" s="5">
        <v>33267.0</v>
      </c>
      <c r="AT16" s="5">
        <v>31379.0</v>
      </c>
      <c r="AU16" s="5">
        <v>26475.0</v>
      </c>
      <c r="AV16" s="5">
        <v>21901.0</v>
      </c>
      <c r="AW16" s="5">
        <v>18600.0</v>
      </c>
      <c r="AX16" s="5">
        <v>17215.0</v>
      </c>
      <c r="AY16" s="5">
        <v>15304.0</v>
      </c>
      <c r="AZ16" s="5">
        <v>13515.0</v>
      </c>
      <c r="BA16" s="5">
        <v>9195.0</v>
      </c>
      <c r="BB16" s="5">
        <v>5988.0</v>
      </c>
      <c r="BC16" s="5">
        <v>3275.0</v>
      </c>
      <c r="BD16" s="5">
        <v>4313.0</v>
      </c>
      <c r="BE16" s="4"/>
      <c r="BF16" s="4"/>
      <c r="BG16" s="4"/>
      <c r="BH16" s="4"/>
      <c r="BI16" s="4"/>
      <c r="BJ16" s="4"/>
    </row>
    <row r="17">
      <c r="A17" s="5"/>
      <c r="B17" s="5" t="s">
        <v>108</v>
      </c>
      <c r="C17" s="5">
        <v>543445.0</v>
      </c>
      <c r="D17" s="5">
        <v>48136.0</v>
      </c>
      <c r="E17" s="5">
        <v>46334.0</v>
      </c>
      <c r="F17" s="5">
        <v>44074.0</v>
      </c>
      <c r="G17" s="5">
        <v>44014.0</v>
      </c>
      <c r="H17" s="5">
        <v>48654.0</v>
      </c>
      <c r="I17" s="5">
        <v>50360.0</v>
      </c>
      <c r="J17" s="5">
        <v>47913.0</v>
      </c>
      <c r="K17" s="5">
        <v>44123.0</v>
      </c>
      <c r="L17" s="5">
        <v>39589.0</v>
      </c>
      <c r="M17" s="5">
        <v>33328.0</v>
      </c>
      <c r="N17" s="5">
        <v>28463.0</v>
      </c>
      <c r="O17" s="5">
        <v>22771.0</v>
      </c>
      <c r="P17" s="5">
        <v>18459.0</v>
      </c>
      <c r="Q17" s="5">
        <v>12433.0</v>
      </c>
      <c r="R17" s="5">
        <v>7664.0</v>
      </c>
      <c r="S17" s="5">
        <v>3703.0</v>
      </c>
      <c r="T17" s="5">
        <v>3427.0</v>
      </c>
      <c r="U17" s="5">
        <v>279618.0</v>
      </c>
      <c r="V17" s="5">
        <v>24980.0</v>
      </c>
      <c r="W17" s="5">
        <v>23928.0</v>
      </c>
      <c r="X17" s="5">
        <v>22638.0</v>
      </c>
      <c r="Y17" s="5">
        <v>22373.0</v>
      </c>
      <c r="Z17" s="5">
        <v>24787.0</v>
      </c>
      <c r="AA17" s="5">
        <v>26049.0</v>
      </c>
      <c r="AB17" s="5">
        <v>25334.0</v>
      </c>
      <c r="AC17" s="5">
        <v>23634.0</v>
      </c>
      <c r="AD17" s="5">
        <v>21177.0</v>
      </c>
      <c r="AE17" s="5">
        <v>17713.0</v>
      </c>
      <c r="AF17" s="5">
        <v>14923.0</v>
      </c>
      <c r="AG17" s="5">
        <v>11460.0</v>
      </c>
      <c r="AH17" s="5">
        <v>8879.0</v>
      </c>
      <c r="AI17" s="5">
        <v>5740.0</v>
      </c>
      <c r="AJ17" s="5">
        <v>3415.0</v>
      </c>
      <c r="AK17" s="5">
        <v>1493.0</v>
      </c>
      <c r="AL17" s="5">
        <v>1095.0</v>
      </c>
      <c r="AM17" s="5">
        <v>263827.0</v>
      </c>
      <c r="AN17" s="5">
        <v>23156.0</v>
      </c>
      <c r="AO17" s="5">
        <v>22406.0</v>
      </c>
      <c r="AP17" s="5">
        <v>21436.0</v>
      </c>
      <c r="AQ17" s="5">
        <v>21641.0</v>
      </c>
      <c r="AR17" s="5">
        <v>23867.0</v>
      </c>
      <c r="AS17" s="5">
        <v>24311.0</v>
      </c>
      <c r="AT17" s="5">
        <v>22579.0</v>
      </c>
      <c r="AU17" s="5">
        <v>20489.0</v>
      </c>
      <c r="AV17" s="5">
        <v>18412.0</v>
      </c>
      <c r="AW17" s="5">
        <v>15615.0</v>
      </c>
      <c r="AX17" s="5">
        <v>13540.0</v>
      </c>
      <c r="AY17" s="5">
        <v>11311.0</v>
      </c>
      <c r="AZ17" s="5">
        <v>9580.0</v>
      </c>
      <c r="BA17" s="5">
        <v>6693.0</v>
      </c>
      <c r="BB17" s="5">
        <v>4249.0</v>
      </c>
      <c r="BC17" s="5">
        <v>2210.0</v>
      </c>
      <c r="BD17" s="5">
        <v>2332.0</v>
      </c>
      <c r="BE17" s="4"/>
      <c r="BF17" s="4"/>
      <c r="BG17" s="4"/>
      <c r="BH17" s="4"/>
      <c r="BI17" s="4"/>
      <c r="BJ17" s="4"/>
    </row>
    <row r="18">
      <c r="A18" s="5"/>
      <c r="B18" s="5" t="s">
        <v>109</v>
      </c>
      <c r="C18" s="5">
        <v>689992.0</v>
      </c>
      <c r="D18" s="5">
        <v>65208.0</v>
      </c>
      <c r="E18" s="5">
        <v>60708.0</v>
      </c>
      <c r="F18" s="5">
        <v>57225.0</v>
      </c>
      <c r="G18" s="5">
        <v>52358.0</v>
      </c>
      <c r="H18" s="5">
        <v>62282.0</v>
      </c>
      <c r="I18" s="5">
        <v>65648.0</v>
      </c>
      <c r="J18" s="5">
        <v>63457.0</v>
      </c>
      <c r="K18" s="5">
        <v>55756.0</v>
      </c>
      <c r="L18" s="5">
        <v>48318.0</v>
      </c>
      <c r="M18" s="5">
        <v>39928.0</v>
      </c>
      <c r="N18" s="5">
        <v>34450.0</v>
      </c>
      <c r="O18" s="5">
        <v>27640.0</v>
      </c>
      <c r="P18" s="5">
        <v>22243.0</v>
      </c>
      <c r="Q18" s="5">
        <v>14763.0</v>
      </c>
      <c r="R18" s="5">
        <v>9591.0</v>
      </c>
      <c r="S18" s="5">
        <v>5081.0</v>
      </c>
      <c r="T18" s="5">
        <v>5336.0</v>
      </c>
      <c r="U18" s="5">
        <v>342331.0</v>
      </c>
      <c r="V18" s="5">
        <v>33412.0</v>
      </c>
      <c r="W18" s="5">
        <v>31415.0</v>
      </c>
      <c r="X18" s="5">
        <v>29645.0</v>
      </c>
      <c r="Y18" s="5">
        <v>26641.0</v>
      </c>
      <c r="Z18" s="5">
        <v>31394.0</v>
      </c>
      <c r="AA18" s="5">
        <v>33419.0</v>
      </c>
      <c r="AB18" s="5">
        <v>32648.0</v>
      </c>
      <c r="AC18" s="5">
        <v>27868.0</v>
      </c>
      <c r="AD18" s="5">
        <v>24154.0</v>
      </c>
      <c r="AE18" s="5">
        <v>19334.0</v>
      </c>
      <c r="AF18" s="5">
        <v>16082.0</v>
      </c>
      <c r="AG18" s="5">
        <v>12549.0</v>
      </c>
      <c r="AH18" s="5">
        <v>9919.0</v>
      </c>
      <c r="AI18" s="5">
        <v>6361.0</v>
      </c>
      <c r="AJ18" s="5">
        <v>3935.0</v>
      </c>
      <c r="AK18" s="5">
        <v>1864.0</v>
      </c>
      <c r="AL18" s="5">
        <v>1691.0</v>
      </c>
      <c r="AM18" s="5">
        <v>347661.0</v>
      </c>
      <c r="AN18" s="5">
        <v>31796.0</v>
      </c>
      <c r="AO18" s="5">
        <v>29293.0</v>
      </c>
      <c r="AP18" s="5">
        <v>27580.0</v>
      </c>
      <c r="AQ18" s="5">
        <v>25717.0</v>
      </c>
      <c r="AR18" s="5">
        <v>30888.0</v>
      </c>
      <c r="AS18" s="5">
        <v>32229.0</v>
      </c>
      <c r="AT18" s="5">
        <v>30809.0</v>
      </c>
      <c r="AU18" s="5">
        <v>27888.0</v>
      </c>
      <c r="AV18" s="5">
        <v>24164.0</v>
      </c>
      <c r="AW18" s="5">
        <v>20594.0</v>
      </c>
      <c r="AX18" s="5">
        <v>18368.0</v>
      </c>
      <c r="AY18" s="5">
        <v>15091.0</v>
      </c>
      <c r="AZ18" s="5">
        <v>12324.0</v>
      </c>
      <c r="BA18" s="5">
        <v>8402.0</v>
      </c>
      <c r="BB18" s="5">
        <v>5656.0</v>
      </c>
      <c r="BC18" s="5">
        <v>3217.0</v>
      </c>
      <c r="BD18" s="5">
        <v>3645.0</v>
      </c>
      <c r="BE18" s="4"/>
      <c r="BF18" s="4"/>
      <c r="BG18" s="4"/>
      <c r="BH18" s="4"/>
      <c r="BI18" s="4"/>
      <c r="BJ18" s="4"/>
    </row>
    <row r="19">
      <c r="A19" s="5"/>
      <c r="B19" s="5" t="s">
        <v>110</v>
      </c>
      <c r="C19" s="5">
        <v>440656.0</v>
      </c>
      <c r="D19" s="5">
        <v>33053.0</v>
      </c>
      <c r="E19" s="5">
        <v>34729.0</v>
      </c>
      <c r="F19" s="5">
        <v>34458.0</v>
      </c>
      <c r="G19" s="5">
        <v>34309.0</v>
      </c>
      <c r="H19" s="5">
        <v>49923.0</v>
      </c>
      <c r="I19" s="5">
        <v>52833.0</v>
      </c>
      <c r="J19" s="5">
        <v>43251.0</v>
      </c>
      <c r="K19" s="5">
        <v>35477.0</v>
      </c>
      <c r="L19" s="5">
        <v>29598.0</v>
      </c>
      <c r="M19" s="5">
        <v>23544.0</v>
      </c>
      <c r="N19" s="5">
        <v>20439.0</v>
      </c>
      <c r="O19" s="5">
        <v>16166.0</v>
      </c>
      <c r="P19" s="5">
        <v>12573.0</v>
      </c>
      <c r="Q19" s="5">
        <v>8734.0</v>
      </c>
      <c r="R19" s="5">
        <v>5729.0</v>
      </c>
      <c r="S19" s="5">
        <v>2887.0</v>
      </c>
      <c r="T19" s="5">
        <v>2953.0</v>
      </c>
      <c r="U19" s="5">
        <v>219940.0</v>
      </c>
      <c r="V19" s="5">
        <v>17056.0</v>
      </c>
      <c r="W19" s="5">
        <v>17858.0</v>
      </c>
      <c r="X19" s="5">
        <v>17643.0</v>
      </c>
      <c r="Y19" s="5">
        <v>17142.0</v>
      </c>
      <c r="Z19" s="5">
        <v>25108.0</v>
      </c>
      <c r="AA19" s="5">
        <v>26672.0</v>
      </c>
      <c r="AB19" s="5">
        <v>22233.0</v>
      </c>
      <c r="AC19" s="5">
        <v>18362.0</v>
      </c>
      <c r="AD19" s="5">
        <v>15038.0</v>
      </c>
      <c r="AE19" s="5">
        <v>11718.0</v>
      </c>
      <c r="AF19" s="5">
        <v>9971.0</v>
      </c>
      <c r="AG19" s="5">
        <v>7652.0</v>
      </c>
      <c r="AH19" s="5">
        <v>5596.0</v>
      </c>
      <c r="AI19" s="5">
        <v>3805.0</v>
      </c>
      <c r="AJ19" s="5">
        <v>2274.0</v>
      </c>
      <c r="AK19" s="5">
        <v>956.0</v>
      </c>
      <c r="AL19" s="5">
        <v>856.0</v>
      </c>
      <c r="AM19" s="5">
        <v>220716.0</v>
      </c>
      <c r="AN19" s="5">
        <v>15997.0</v>
      </c>
      <c r="AO19" s="5">
        <v>16871.0</v>
      </c>
      <c r="AP19" s="5">
        <v>16815.0</v>
      </c>
      <c r="AQ19" s="5">
        <v>17167.0</v>
      </c>
      <c r="AR19" s="5">
        <v>24815.0</v>
      </c>
      <c r="AS19" s="5">
        <v>26161.0</v>
      </c>
      <c r="AT19" s="5">
        <v>21018.0</v>
      </c>
      <c r="AU19" s="5">
        <v>17115.0</v>
      </c>
      <c r="AV19" s="5">
        <v>14560.0</v>
      </c>
      <c r="AW19" s="5">
        <v>11826.0</v>
      </c>
      <c r="AX19" s="5">
        <v>10468.0</v>
      </c>
      <c r="AY19" s="5">
        <v>8514.0</v>
      </c>
      <c r="AZ19" s="5">
        <v>6977.0</v>
      </c>
      <c r="BA19" s="5">
        <v>4929.0</v>
      </c>
      <c r="BB19" s="5">
        <v>3455.0</v>
      </c>
      <c r="BC19" s="5">
        <v>1931.0</v>
      </c>
      <c r="BD19" s="5">
        <v>2097.0</v>
      </c>
      <c r="BE19" s="4"/>
      <c r="BF19" s="4"/>
      <c r="BG19" s="4"/>
      <c r="BH19" s="4"/>
      <c r="BI19" s="4"/>
      <c r="BJ19" s="4"/>
    </row>
    <row r="20">
      <c r="A20" s="5"/>
      <c r="B20" s="5" t="s">
        <v>111</v>
      </c>
      <c r="C20" s="5">
        <v>886722.0</v>
      </c>
      <c r="D20" s="5">
        <v>90831.0</v>
      </c>
      <c r="E20" s="5">
        <v>85148.0</v>
      </c>
      <c r="F20" s="5">
        <v>80925.0</v>
      </c>
      <c r="G20" s="5">
        <v>74412.0</v>
      </c>
      <c r="H20" s="5">
        <v>88436.0</v>
      </c>
      <c r="I20" s="5">
        <v>91599.0</v>
      </c>
      <c r="J20" s="5">
        <v>82511.0</v>
      </c>
      <c r="K20" s="5">
        <v>68942.0</v>
      </c>
      <c r="L20" s="5">
        <v>57971.0</v>
      </c>
      <c r="M20" s="5">
        <v>45223.0</v>
      </c>
      <c r="N20" s="5">
        <v>37541.0</v>
      </c>
      <c r="O20" s="5">
        <v>29870.0</v>
      </c>
      <c r="P20" s="5">
        <v>22996.0</v>
      </c>
      <c r="Q20" s="5">
        <v>14717.0</v>
      </c>
      <c r="R20" s="5">
        <v>8308.0</v>
      </c>
      <c r="S20" s="5">
        <v>3862.0</v>
      </c>
      <c r="T20" s="5">
        <v>3430.0</v>
      </c>
      <c r="U20" s="5">
        <v>447528.0</v>
      </c>
      <c r="V20" s="5">
        <v>47031.0</v>
      </c>
      <c r="W20" s="5">
        <v>44210.0</v>
      </c>
      <c r="X20" s="5">
        <v>41774.0</v>
      </c>
      <c r="Y20" s="5">
        <v>37648.0</v>
      </c>
      <c r="Z20" s="5">
        <v>44310.0</v>
      </c>
      <c r="AA20" s="5">
        <v>46607.0</v>
      </c>
      <c r="AB20" s="5">
        <v>42600.0</v>
      </c>
      <c r="AC20" s="5">
        <v>35283.0</v>
      </c>
      <c r="AD20" s="5">
        <v>29698.0</v>
      </c>
      <c r="AE20" s="5">
        <v>22773.0</v>
      </c>
      <c r="AF20" s="5">
        <v>18339.0</v>
      </c>
      <c r="AG20" s="5">
        <v>14278.0</v>
      </c>
      <c r="AH20" s="5">
        <v>10548.0</v>
      </c>
      <c r="AI20" s="5">
        <v>6638.0</v>
      </c>
      <c r="AJ20" s="5">
        <v>3403.0</v>
      </c>
      <c r="AK20" s="5">
        <v>1414.0</v>
      </c>
      <c r="AL20" s="5">
        <v>974.0</v>
      </c>
      <c r="AM20" s="5">
        <v>439194.0</v>
      </c>
      <c r="AN20" s="5">
        <v>43800.0</v>
      </c>
      <c r="AO20" s="5">
        <v>40938.0</v>
      </c>
      <c r="AP20" s="5">
        <v>39151.0</v>
      </c>
      <c r="AQ20" s="5">
        <v>36764.0</v>
      </c>
      <c r="AR20" s="5">
        <v>44126.0</v>
      </c>
      <c r="AS20" s="5">
        <v>44992.0</v>
      </c>
      <c r="AT20" s="5">
        <v>39911.0</v>
      </c>
      <c r="AU20" s="5">
        <v>33659.0</v>
      </c>
      <c r="AV20" s="5">
        <v>28273.0</v>
      </c>
      <c r="AW20" s="5">
        <v>22450.0</v>
      </c>
      <c r="AX20" s="5">
        <v>19202.0</v>
      </c>
      <c r="AY20" s="5">
        <v>15592.0</v>
      </c>
      <c r="AZ20" s="5">
        <v>12448.0</v>
      </c>
      <c r="BA20" s="5">
        <v>8079.0</v>
      </c>
      <c r="BB20" s="5">
        <v>4905.0</v>
      </c>
      <c r="BC20" s="5">
        <v>2448.0</v>
      </c>
      <c r="BD20" s="5">
        <v>2456.0</v>
      </c>
      <c r="BE20" s="4"/>
      <c r="BF20" s="4"/>
      <c r="BG20" s="4"/>
      <c r="BH20" s="4"/>
      <c r="BI20" s="4"/>
      <c r="BJ20" s="4"/>
    </row>
    <row r="21">
      <c r="A21" s="5"/>
      <c r="B21" s="5" t="s">
        <v>112</v>
      </c>
      <c r="C21" s="5">
        <v>65227.0</v>
      </c>
      <c r="D21" s="5">
        <v>5846.0</v>
      </c>
      <c r="E21" s="5">
        <v>5934.0</v>
      </c>
      <c r="F21" s="5">
        <v>5869.0</v>
      </c>
      <c r="G21" s="5">
        <v>5417.0</v>
      </c>
      <c r="H21" s="5">
        <v>5959.0</v>
      </c>
      <c r="I21" s="5">
        <v>5928.0</v>
      </c>
      <c r="J21" s="5">
        <v>5643.0</v>
      </c>
      <c r="K21" s="5">
        <v>4850.0</v>
      </c>
      <c r="L21" s="5">
        <v>4336.0</v>
      </c>
      <c r="M21" s="5">
        <v>3671.0</v>
      </c>
      <c r="N21" s="5">
        <v>3310.0</v>
      </c>
      <c r="O21" s="5">
        <v>2674.0</v>
      </c>
      <c r="P21" s="5">
        <v>2145.0</v>
      </c>
      <c r="Q21" s="5">
        <v>1541.0</v>
      </c>
      <c r="R21" s="5">
        <v>1008.0</v>
      </c>
      <c r="S21" s="5">
        <v>561.0</v>
      </c>
      <c r="T21" s="5">
        <v>535.0</v>
      </c>
      <c r="U21" s="5">
        <v>32512.0</v>
      </c>
      <c r="V21" s="5">
        <v>3017.0</v>
      </c>
      <c r="W21" s="5">
        <v>3070.0</v>
      </c>
      <c r="X21" s="5">
        <v>3049.0</v>
      </c>
      <c r="Y21" s="5">
        <v>2778.0</v>
      </c>
      <c r="Z21" s="5">
        <v>2976.0</v>
      </c>
      <c r="AA21" s="5">
        <v>2991.0</v>
      </c>
      <c r="AB21" s="5">
        <v>2905.0</v>
      </c>
      <c r="AC21" s="5">
        <v>2425.0</v>
      </c>
      <c r="AD21" s="5">
        <v>2181.0</v>
      </c>
      <c r="AE21" s="5">
        <v>1810.0</v>
      </c>
      <c r="AF21" s="5">
        <v>1622.0</v>
      </c>
      <c r="AG21" s="5">
        <v>1296.0</v>
      </c>
      <c r="AH21" s="5">
        <v>946.0</v>
      </c>
      <c r="AI21" s="5">
        <v>682.0</v>
      </c>
      <c r="AJ21" s="5">
        <v>407.0</v>
      </c>
      <c r="AK21" s="5">
        <v>195.0</v>
      </c>
      <c r="AL21" s="5">
        <v>162.0</v>
      </c>
      <c r="AM21" s="5">
        <v>32715.0</v>
      </c>
      <c r="AN21" s="5">
        <v>2829.0</v>
      </c>
      <c r="AO21" s="5">
        <v>2864.0</v>
      </c>
      <c r="AP21" s="5">
        <v>2820.0</v>
      </c>
      <c r="AQ21" s="5">
        <v>2639.0</v>
      </c>
      <c r="AR21" s="5">
        <v>2983.0</v>
      </c>
      <c r="AS21" s="5">
        <v>2937.0</v>
      </c>
      <c r="AT21" s="5">
        <v>2738.0</v>
      </c>
      <c r="AU21" s="5">
        <v>2425.0</v>
      </c>
      <c r="AV21" s="5">
        <v>2155.0</v>
      </c>
      <c r="AW21" s="5">
        <v>1861.0</v>
      </c>
      <c r="AX21" s="5">
        <v>1688.0</v>
      </c>
      <c r="AY21" s="5">
        <v>1378.0</v>
      </c>
      <c r="AZ21" s="5">
        <v>1199.0</v>
      </c>
      <c r="BA21" s="5">
        <v>859.0</v>
      </c>
      <c r="BB21" s="5">
        <v>601.0</v>
      </c>
      <c r="BC21" s="5">
        <v>366.0</v>
      </c>
      <c r="BD21" s="5">
        <v>373.0</v>
      </c>
      <c r="BE21" s="4"/>
      <c r="BF21" s="4"/>
      <c r="BG21" s="4"/>
      <c r="BH21" s="4"/>
      <c r="BI21" s="4"/>
      <c r="BJ21" s="4"/>
    </row>
    <row r="22">
      <c r="A22" s="5"/>
      <c r="B22" s="5" t="s">
        <v>113</v>
      </c>
      <c r="C22" s="5">
        <v>1797660.0</v>
      </c>
      <c r="D22" s="5">
        <v>158464.0</v>
      </c>
      <c r="E22" s="5">
        <v>171064.0</v>
      </c>
      <c r="F22" s="5">
        <v>175884.0</v>
      </c>
      <c r="G22" s="5">
        <v>179108.0</v>
      </c>
      <c r="H22" s="5">
        <v>175777.0</v>
      </c>
      <c r="I22" s="5">
        <v>160378.0</v>
      </c>
      <c r="J22" s="5">
        <v>140734.0</v>
      </c>
      <c r="K22" s="5">
        <v>122366.0</v>
      </c>
      <c r="L22" s="5">
        <v>104821.0</v>
      </c>
      <c r="M22" s="5">
        <v>88881.0</v>
      </c>
      <c r="N22" s="5">
        <v>82056.0</v>
      </c>
      <c r="O22" s="5">
        <v>71214.0</v>
      </c>
      <c r="P22" s="5">
        <v>58935.0</v>
      </c>
      <c r="Q22" s="5">
        <v>42543.0</v>
      </c>
      <c r="R22" s="5">
        <v>27245.0</v>
      </c>
      <c r="S22" s="5">
        <v>16740.0</v>
      </c>
      <c r="T22" s="5">
        <v>21450.0</v>
      </c>
      <c r="U22" s="5">
        <v>922508.0</v>
      </c>
      <c r="V22" s="5">
        <v>81976.0</v>
      </c>
      <c r="W22" s="5">
        <v>89273.0</v>
      </c>
      <c r="X22" s="5">
        <v>90649.0</v>
      </c>
      <c r="Y22" s="5">
        <v>91532.0</v>
      </c>
      <c r="Z22" s="5">
        <v>90495.0</v>
      </c>
      <c r="AA22" s="5">
        <v>83624.0</v>
      </c>
      <c r="AB22" s="5">
        <v>73972.0</v>
      </c>
      <c r="AC22" s="5">
        <v>64763.0</v>
      </c>
      <c r="AD22" s="5">
        <v>55145.0</v>
      </c>
      <c r="AE22" s="5">
        <v>46551.0</v>
      </c>
      <c r="AF22" s="5">
        <v>42148.0</v>
      </c>
      <c r="AG22" s="5">
        <v>36204.0</v>
      </c>
      <c r="AH22" s="5">
        <v>29084.0</v>
      </c>
      <c r="AI22" s="5">
        <v>20331.0</v>
      </c>
      <c r="AJ22" s="5">
        <v>12269.0</v>
      </c>
      <c r="AK22" s="5">
        <v>6866.0</v>
      </c>
      <c r="AL22" s="5">
        <v>7626.0</v>
      </c>
      <c r="AM22" s="5">
        <v>875152.0</v>
      </c>
      <c r="AN22" s="5">
        <v>76488.0</v>
      </c>
      <c r="AO22" s="5">
        <v>81791.0</v>
      </c>
      <c r="AP22" s="5">
        <v>85235.0</v>
      </c>
      <c r="AQ22" s="5">
        <v>87576.0</v>
      </c>
      <c r="AR22" s="5">
        <v>85282.0</v>
      </c>
      <c r="AS22" s="5">
        <v>76754.0</v>
      </c>
      <c r="AT22" s="5">
        <v>66762.0</v>
      </c>
      <c r="AU22" s="5">
        <v>57603.0</v>
      </c>
      <c r="AV22" s="5">
        <v>49676.0</v>
      </c>
      <c r="AW22" s="5">
        <v>42330.0</v>
      </c>
      <c r="AX22" s="5">
        <v>39908.0</v>
      </c>
      <c r="AY22" s="5">
        <v>35010.0</v>
      </c>
      <c r="AZ22" s="5">
        <v>29851.0</v>
      </c>
      <c r="BA22" s="5">
        <v>22212.0</v>
      </c>
      <c r="BB22" s="5">
        <v>14976.0</v>
      </c>
      <c r="BC22" s="5">
        <v>9874.0</v>
      </c>
      <c r="BD22" s="5">
        <v>13824.0</v>
      </c>
      <c r="BE22" s="4"/>
      <c r="BF22" s="4"/>
      <c r="BG22" s="4"/>
      <c r="BH22" s="4"/>
      <c r="BI22" s="4"/>
      <c r="BJ22" s="4"/>
    </row>
    <row r="23">
      <c r="A23" s="5"/>
      <c r="B23" s="5" t="s">
        <v>114</v>
      </c>
      <c r="C23" s="5">
        <v>250985.0</v>
      </c>
      <c r="D23" s="5">
        <v>19827.0</v>
      </c>
      <c r="E23" s="5">
        <v>24131.0</v>
      </c>
      <c r="F23" s="5">
        <v>25178.0</v>
      </c>
      <c r="G23" s="5">
        <v>25392.0</v>
      </c>
      <c r="H23" s="5">
        <v>21124.0</v>
      </c>
      <c r="I23" s="5">
        <v>19932.0</v>
      </c>
      <c r="J23" s="5">
        <v>18116.0</v>
      </c>
      <c r="K23" s="5">
        <v>16678.0</v>
      </c>
      <c r="L23" s="5">
        <v>14909.0</v>
      </c>
      <c r="M23" s="5">
        <v>12669.0</v>
      </c>
      <c r="N23" s="5">
        <v>12150.0</v>
      </c>
      <c r="O23" s="5">
        <v>10962.0</v>
      </c>
      <c r="P23" s="5">
        <v>9852.0</v>
      </c>
      <c r="Q23" s="5">
        <v>7413.0</v>
      </c>
      <c r="R23" s="5">
        <v>4984.0</v>
      </c>
      <c r="S23" s="5">
        <v>3088.0</v>
      </c>
      <c r="T23" s="5">
        <v>4580.0</v>
      </c>
      <c r="U23" s="5">
        <v>128196.0</v>
      </c>
      <c r="V23" s="5">
        <v>10329.0</v>
      </c>
      <c r="W23" s="5">
        <v>12531.0</v>
      </c>
      <c r="X23" s="5">
        <v>12972.0</v>
      </c>
      <c r="Y23" s="5">
        <v>13064.0</v>
      </c>
      <c r="Z23" s="5">
        <v>10983.0</v>
      </c>
      <c r="AA23" s="5">
        <v>10376.0</v>
      </c>
      <c r="AB23" s="5">
        <v>9422.0</v>
      </c>
      <c r="AC23" s="5">
        <v>8785.0</v>
      </c>
      <c r="AD23" s="5">
        <v>7882.0</v>
      </c>
      <c r="AE23" s="5">
        <v>6569.0</v>
      </c>
      <c r="AF23" s="5">
        <v>6319.0</v>
      </c>
      <c r="AG23" s="5">
        <v>5517.0</v>
      </c>
      <c r="AH23" s="5">
        <v>4916.0</v>
      </c>
      <c r="AI23" s="5">
        <v>3520.0</v>
      </c>
      <c r="AJ23" s="5">
        <v>2207.0</v>
      </c>
      <c r="AK23" s="5">
        <v>1217.0</v>
      </c>
      <c r="AL23" s="5">
        <v>1587.0</v>
      </c>
      <c r="AM23" s="5">
        <v>122789.0</v>
      </c>
      <c r="AN23" s="5">
        <v>9498.0</v>
      </c>
      <c r="AO23" s="5">
        <v>11600.0</v>
      </c>
      <c r="AP23" s="5">
        <v>12206.0</v>
      </c>
      <c r="AQ23" s="5">
        <v>12328.0</v>
      </c>
      <c r="AR23" s="5">
        <v>10141.0</v>
      </c>
      <c r="AS23" s="5">
        <v>9556.0</v>
      </c>
      <c r="AT23" s="5">
        <v>8694.0</v>
      </c>
      <c r="AU23" s="5">
        <v>7893.0</v>
      </c>
      <c r="AV23" s="5">
        <v>7027.0</v>
      </c>
      <c r="AW23" s="5">
        <v>6100.0</v>
      </c>
      <c r="AX23" s="5">
        <v>5831.0</v>
      </c>
      <c r="AY23" s="5">
        <v>5445.0</v>
      </c>
      <c r="AZ23" s="5">
        <v>4936.0</v>
      </c>
      <c r="BA23" s="5">
        <v>3893.0</v>
      </c>
      <c r="BB23" s="5">
        <v>2777.0</v>
      </c>
      <c r="BC23" s="5">
        <v>1871.0</v>
      </c>
      <c r="BD23" s="5">
        <v>2993.0</v>
      </c>
      <c r="BE23" s="4"/>
      <c r="BF23" s="4"/>
      <c r="BG23" s="4"/>
      <c r="BH23" s="4"/>
      <c r="BI23" s="4"/>
      <c r="BJ23" s="4"/>
    </row>
    <row r="24">
      <c r="A24" s="5"/>
      <c r="B24" s="5" t="s">
        <v>115</v>
      </c>
      <c r="C24" s="5">
        <v>124366.0</v>
      </c>
      <c r="D24" s="5">
        <v>11170.0</v>
      </c>
      <c r="E24" s="5">
        <v>12089.0</v>
      </c>
      <c r="F24" s="5">
        <v>13019.0</v>
      </c>
      <c r="G24" s="5">
        <v>12491.0</v>
      </c>
      <c r="H24" s="5">
        <v>11709.0</v>
      </c>
      <c r="I24" s="5">
        <v>10192.0</v>
      </c>
      <c r="J24" s="5">
        <v>8794.0</v>
      </c>
      <c r="K24" s="5">
        <v>8022.0</v>
      </c>
      <c r="L24" s="5">
        <v>7347.0</v>
      </c>
      <c r="M24" s="5">
        <v>6751.0</v>
      </c>
      <c r="N24" s="5">
        <v>5755.0</v>
      </c>
      <c r="O24" s="5">
        <v>5048.0</v>
      </c>
      <c r="P24" s="5">
        <v>4218.0</v>
      </c>
      <c r="Q24" s="5">
        <v>2963.0</v>
      </c>
      <c r="R24" s="5">
        <v>1954.0</v>
      </c>
      <c r="S24" s="5">
        <v>1250.0</v>
      </c>
      <c r="T24" s="5">
        <v>1594.0</v>
      </c>
      <c r="U24" s="5">
        <v>64557.0</v>
      </c>
      <c r="V24" s="5">
        <v>5825.0</v>
      </c>
      <c r="W24" s="5">
        <v>6375.0</v>
      </c>
      <c r="X24" s="5">
        <v>6814.0</v>
      </c>
      <c r="Y24" s="5">
        <v>6404.0</v>
      </c>
      <c r="Z24" s="5">
        <v>6072.0</v>
      </c>
      <c r="AA24" s="5">
        <v>5411.0</v>
      </c>
      <c r="AB24" s="5">
        <v>4689.0</v>
      </c>
      <c r="AC24" s="5">
        <v>4223.0</v>
      </c>
      <c r="AD24" s="5">
        <v>3881.0</v>
      </c>
      <c r="AE24" s="5">
        <v>3558.0</v>
      </c>
      <c r="AF24" s="5">
        <v>3086.0</v>
      </c>
      <c r="AG24" s="5">
        <v>2618.0</v>
      </c>
      <c r="AH24" s="5">
        <v>2118.0</v>
      </c>
      <c r="AI24" s="5">
        <v>1428.0</v>
      </c>
      <c r="AJ24" s="5">
        <v>892.0</v>
      </c>
      <c r="AK24" s="5">
        <v>555.0</v>
      </c>
      <c r="AL24" s="5">
        <v>608.0</v>
      </c>
      <c r="AM24" s="5">
        <v>59809.0</v>
      </c>
      <c r="AN24" s="5">
        <v>5345.0</v>
      </c>
      <c r="AO24" s="5">
        <v>5714.0</v>
      </c>
      <c r="AP24" s="5">
        <v>6205.0</v>
      </c>
      <c r="AQ24" s="5">
        <v>6087.0</v>
      </c>
      <c r="AR24" s="5">
        <v>5637.0</v>
      </c>
      <c r="AS24" s="5">
        <v>4781.0</v>
      </c>
      <c r="AT24" s="5">
        <v>4105.0</v>
      </c>
      <c r="AU24" s="5">
        <v>3799.0</v>
      </c>
      <c r="AV24" s="5">
        <v>3466.0</v>
      </c>
      <c r="AW24" s="5">
        <v>3193.0</v>
      </c>
      <c r="AX24" s="5">
        <v>2669.0</v>
      </c>
      <c r="AY24" s="5">
        <v>2430.0</v>
      </c>
      <c r="AZ24" s="5">
        <v>2100.0</v>
      </c>
      <c r="BA24" s="5">
        <v>1535.0</v>
      </c>
      <c r="BB24" s="5">
        <v>1062.0</v>
      </c>
      <c r="BC24" s="5">
        <v>695.0</v>
      </c>
      <c r="BD24" s="5">
        <v>986.0</v>
      </c>
      <c r="BE24" s="4"/>
      <c r="BF24" s="4"/>
      <c r="BG24" s="4"/>
      <c r="BH24" s="4"/>
      <c r="BI24" s="4"/>
      <c r="BJ24" s="4"/>
    </row>
    <row r="25">
      <c r="A25" s="5"/>
      <c r="B25" s="5" t="s">
        <v>116</v>
      </c>
      <c r="C25" s="5">
        <v>460683.0</v>
      </c>
      <c r="D25" s="5">
        <v>44611.0</v>
      </c>
      <c r="E25" s="5">
        <v>44619.0</v>
      </c>
      <c r="F25" s="5">
        <v>43779.0</v>
      </c>
      <c r="G25" s="5">
        <v>43915.0</v>
      </c>
      <c r="H25" s="5">
        <v>45216.0</v>
      </c>
      <c r="I25" s="5">
        <v>42639.0</v>
      </c>
      <c r="J25" s="5">
        <v>38392.0</v>
      </c>
      <c r="K25" s="5">
        <v>32752.0</v>
      </c>
      <c r="L25" s="5">
        <v>26949.0</v>
      </c>
      <c r="M25" s="5">
        <v>22018.0</v>
      </c>
      <c r="N25" s="5">
        <v>20405.0</v>
      </c>
      <c r="O25" s="5">
        <v>17767.0</v>
      </c>
      <c r="P25" s="5">
        <v>14122.0</v>
      </c>
      <c r="Q25" s="5">
        <v>9645.0</v>
      </c>
      <c r="R25" s="5">
        <v>5958.0</v>
      </c>
      <c r="S25" s="5">
        <v>3701.0</v>
      </c>
      <c r="T25" s="5">
        <v>4195.0</v>
      </c>
      <c r="U25" s="5">
        <v>239412.0</v>
      </c>
      <c r="V25" s="5">
        <v>22971.0</v>
      </c>
      <c r="W25" s="5">
        <v>23241.0</v>
      </c>
      <c r="X25" s="5">
        <v>22428.0</v>
      </c>
      <c r="Y25" s="5">
        <v>22421.0</v>
      </c>
      <c r="Z25" s="5">
        <v>23333.0</v>
      </c>
      <c r="AA25" s="5">
        <v>22569.0</v>
      </c>
      <c r="AB25" s="5">
        <v>20579.0</v>
      </c>
      <c r="AC25" s="5">
        <v>17675.0</v>
      </c>
      <c r="AD25" s="5">
        <v>14456.0</v>
      </c>
      <c r="AE25" s="5">
        <v>11842.0</v>
      </c>
      <c r="AF25" s="5">
        <v>10678.0</v>
      </c>
      <c r="AG25" s="5">
        <v>9380.0</v>
      </c>
      <c r="AH25" s="5">
        <v>7224.0</v>
      </c>
      <c r="AI25" s="5">
        <v>4770.0</v>
      </c>
      <c r="AJ25" s="5">
        <v>2747.0</v>
      </c>
      <c r="AK25" s="5">
        <v>1575.0</v>
      </c>
      <c r="AL25" s="5">
        <v>1523.0</v>
      </c>
      <c r="AM25" s="5">
        <v>221271.0</v>
      </c>
      <c r="AN25" s="5">
        <v>21640.0</v>
      </c>
      <c r="AO25" s="5">
        <v>21378.0</v>
      </c>
      <c r="AP25" s="5">
        <v>21351.0</v>
      </c>
      <c r="AQ25" s="5">
        <v>21494.0</v>
      </c>
      <c r="AR25" s="5">
        <v>21883.0</v>
      </c>
      <c r="AS25" s="5">
        <v>20070.0</v>
      </c>
      <c r="AT25" s="5">
        <v>17813.0</v>
      </c>
      <c r="AU25" s="5">
        <v>15077.0</v>
      </c>
      <c r="AV25" s="5">
        <v>12493.0</v>
      </c>
      <c r="AW25" s="5">
        <v>10176.0</v>
      </c>
      <c r="AX25" s="5">
        <v>9727.0</v>
      </c>
      <c r="AY25" s="5">
        <v>8387.0</v>
      </c>
      <c r="AZ25" s="5">
        <v>6898.0</v>
      </c>
      <c r="BA25" s="5">
        <v>4875.0</v>
      </c>
      <c r="BB25" s="5">
        <v>3211.0</v>
      </c>
      <c r="BC25" s="5">
        <v>2126.0</v>
      </c>
      <c r="BD25" s="5">
        <v>2672.0</v>
      </c>
      <c r="BE25" s="4"/>
      <c r="BF25" s="4"/>
      <c r="BG25" s="4"/>
      <c r="BH25" s="4"/>
      <c r="BI25" s="4"/>
      <c r="BJ25" s="4"/>
    </row>
    <row r="26">
      <c r="A26" s="5"/>
      <c r="B26" s="5" t="s">
        <v>117</v>
      </c>
      <c r="C26" s="5">
        <v>207498.0</v>
      </c>
      <c r="D26" s="5">
        <v>20430.0</v>
      </c>
      <c r="E26" s="5">
        <v>21922.0</v>
      </c>
      <c r="F26" s="5">
        <v>22248.0</v>
      </c>
      <c r="G26" s="5">
        <v>21250.0</v>
      </c>
      <c r="H26" s="5">
        <v>19816.0</v>
      </c>
      <c r="I26" s="5">
        <v>18433.0</v>
      </c>
      <c r="J26" s="5">
        <v>15768.0</v>
      </c>
      <c r="K26" s="5">
        <v>13250.0</v>
      </c>
      <c r="L26" s="5">
        <v>11384.0</v>
      </c>
      <c r="M26" s="5">
        <v>9491.0</v>
      </c>
      <c r="N26" s="5">
        <v>8418.0</v>
      </c>
      <c r="O26" s="5">
        <v>7267.0</v>
      </c>
      <c r="P26" s="5">
        <v>6039.0</v>
      </c>
      <c r="Q26" s="5">
        <v>4687.0</v>
      </c>
      <c r="R26" s="5">
        <v>2839.0</v>
      </c>
      <c r="S26" s="5">
        <v>1697.0</v>
      </c>
      <c r="T26" s="5">
        <v>2559.0</v>
      </c>
      <c r="U26" s="5">
        <v>107985.0</v>
      </c>
      <c r="V26" s="5">
        <v>10540.0</v>
      </c>
      <c r="W26" s="5">
        <v>11484.0</v>
      </c>
      <c r="X26" s="5">
        <v>11396.0</v>
      </c>
      <c r="Y26" s="5">
        <v>10920.0</v>
      </c>
      <c r="Z26" s="5">
        <v>10267.0</v>
      </c>
      <c r="AA26" s="5">
        <v>9756.0</v>
      </c>
      <c r="AB26" s="5">
        <v>8447.0</v>
      </c>
      <c r="AC26" s="5">
        <v>7301.0</v>
      </c>
      <c r="AD26" s="5">
        <v>6201.0</v>
      </c>
      <c r="AE26" s="5">
        <v>5237.0</v>
      </c>
      <c r="AF26" s="5">
        <v>4369.0</v>
      </c>
      <c r="AG26" s="5">
        <v>3744.0</v>
      </c>
      <c r="AH26" s="5">
        <v>2954.0</v>
      </c>
      <c r="AI26" s="5">
        <v>2321.0</v>
      </c>
      <c r="AJ26" s="5">
        <v>1362.0</v>
      </c>
      <c r="AK26" s="5">
        <v>708.0</v>
      </c>
      <c r="AL26" s="5">
        <v>978.0</v>
      </c>
      <c r="AM26" s="5">
        <v>99513.0</v>
      </c>
      <c r="AN26" s="5">
        <v>9890.0</v>
      </c>
      <c r="AO26" s="5">
        <v>10438.0</v>
      </c>
      <c r="AP26" s="5">
        <v>10852.0</v>
      </c>
      <c r="AQ26" s="5">
        <v>10330.0</v>
      </c>
      <c r="AR26" s="5">
        <v>9549.0</v>
      </c>
      <c r="AS26" s="5">
        <v>8677.0</v>
      </c>
      <c r="AT26" s="5">
        <v>7321.0</v>
      </c>
      <c r="AU26" s="5">
        <v>5949.0</v>
      </c>
      <c r="AV26" s="5">
        <v>5183.0</v>
      </c>
      <c r="AW26" s="5">
        <v>4254.0</v>
      </c>
      <c r="AX26" s="5">
        <v>4049.0</v>
      </c>
      <c r="AY26" s="5">
        <v>3523.0</v>
      </c>
      <c r="AZ26" s="5">
        <v>3085.0</v>
      </c>
      <c r="BA26" s="5">
        <v>2366.0</v>
      </c>
      <c r="BB26" s="5">
        <v>1477.0</v>
      </c>
      <c r="BC26" s="5">
        <v>989.0</v>
      </c>
      <c r="BD26" s="5">
        <v>1581.0</v>
      </c>
      <c r="BE26" s="4"/>
      <c r="BF26" s="4"/>
      <c r="BG26" s="4"/>
      <c r="BH26" s="4"/>
      <c r="BI26" s="4"/>
      <c r="BJ26" s="4"/>
    </row>
    <row r="27">
      <c r="A27" s="5"/>
      <c r="B27" s="5" t="s">
        <v>118</v>
      </c>
      <c r="C27" s="5">
        <v>229570.0</v>
      </c>
      <c r="D27" s="5">
        <v>22223.0</v>
      </c>
      <c r="E27" s="5">
        <v>23627.0</v>
      </c>
      <c r="F27" s="5">
        <v>24184.0</v>
      </c>
      <c r="G27" s="5">
        <v>24218.0</v>
      </c>
      <c r="H27" s="5">
        <v>22563.0</v>
      </c>
      <c r="I27" s="5">
        <v>19870.0</v>
      </c>
      <c r="J27" s="5">
        <v>16897.0</v>
      </c>
      <c r="K27" s="5">
        <v>14085.0</v>
      </c>
      <c r="L27" s="5">
        <v>12556.0</v>
      </c>
      <c r="M27" s="5">
        <v>10927.0</v>
      </c>
      <c r="N27" s="5">
        <v>9858.0</v>
      </c>
      <c r="O27" s="5">
        <v>8289.0</v>
      </c>
      <c r="P27" s="5">
        <v>6956.0</v>
      </c>
      <c r="Q27" s="5">
        <v>5189.0</v>
      </c>
      <c r="R27" s="5">
        <v>3386.0</v>
      </c>
      <c r="S27" s="5">
        <v>2174.0</v>
      </c>
      <c r="T27" s="5">
        <v>2568.0</v>
      </c>
      <c r="U27" s="5">
        <v>118734.0</v>
      </c>
      <c r="V27" s="5">
        <v>11519.0</v>
      </c>
      <c r="W27" s="5">
        <v>12264.0</v>
      </c>
      <c r="X27" s="5">
        <v>12610.0</v>
      </c>
      <c r="Y27" s="5">
        <v>12392.0</v>
      </c>
      <c r="Z27" s="5">
        <v>11651.0</v>
      </c>
      <c r="AA27" s="5">
        <v>10405.0</v>
      </c>
      <c r="AB27" s="5">
        <v>9123.0</v>
      </c>
      <c r="AC27" s="5">
        <v>7518.0</v>
      </c>
      <c r="AD27" s="5">
        <v>6713.0</v>
      </c>
      <c r="AE27" s="5">
        <v>5678.0</v>
      </c>
      <c r="AF27" s="5">
        <v>5032.0</v>
      </c>
      <c r="AG27" s="5">
        <v>4297.0</v>
      </c>
      <c r="AH27" s="5">
        <v>3391.0</v>
      </c>
      <c r="AI27" s="5">
        <v>2588.0</v>
      </c>
      <c r="AJ27" s="5">
        <v>1574.0</v>
      </c>
      <c r="AK27" s="5">
        <v>952.0</v>
      </c>
      <c r="AL27" s="5">
        <v>1027.0</v>
      </c>
      <c r="AM27" s="5">
        <v>110836.0</v>
      </c>
      <c r="AN27" s="5">
        <v>10704.0</v>
      </c>
      <c r="AO27" s="5">
        <v>11363.0</v>
      </c>
      <c r="AP27" s="5">
        <v>11574.0</v>
      </c>
      <c r="AQ27" s="5">
        <v>11826.0</v>
      </c>
      <c r="AR27" s="5">
        <v>10912.0</v>
      </c>
      <c r="AS27" s="5">
        <v>9465.0</v>
      </c>
      <c r="AT27" s="5">
        <v>7774.0</v>
      </c>
      <c r="AU27" s="5">
        <v>6567.0</v>
      </c>
      <c r="AV27" s="5">
        <v>5843.0</v>
      </c>
      <c r="AW27" s="5">
        <v>5249.0</v>
      </c>
      <c r="AX27" s="5">
        <v>4826.0</v>
      </c>
      <c r="AY27" s="5">
        <v>3992.0</v>
      </c>
      <c r="AZ27" s="5">
        <v>3565.0</v>
      </c>
      <c r="BA27" s="5">
        <v>2601.0</v>
      </c>
      <c r="BB27" s="5">
        <v>1812.0</v>
      </c>
      <c r="BC27" s="5">
        <v>1222.0</v>
      </c>
      <c r="BD27" s="5">
        <v>1541.0</v>
      </c>
      <c r="BE27" s="4"/>
      <c r="BF27" s="4"/>
      <c r="BG27" s="4"/>
      <c r="BH27" s="4"/>
      <c r="BI27" s="4"/>
      <c r="BJ27" s="4"/>
    </row>
    <row r="28">
      <c r="A28" s="5"/>
      <c r="B28" s="5" t="s">
        <v>119</v>
      </c>
      <c r="C28" s="5">
        <v>158200.0</v>
      </c>
      <c r="D28" s="5">
        <v>13607.0</v>
      </c>
      <c r="E28" s="5">
        <v>15809.0</v>
      </c>
      <c r="F28" s="5">
        <v>16721.0</v>
      </c>
      <c r="G28" s="5">
        <v>16812.0</v>
      </c>
      <c r="H28" s="5">
        <v>14685.0</v>
      </c>
      <c r="I28" s="5">
        <v>13183.0</v>
      </c>
      <c r="J28" s="5">
        <v>11728.0</v>
      </c>
      <c r="K28" s="5">
        <v>9726.0</v>
      </c>
      <c r="L28" s="5">
        <v>8473.0</v>
      </c>
      <c r="M28" s="5">
        <v>7500.0</v>
      </c>
      <c r="N28" s="5">
        <v>7215.0</v>
      </c>
      <c r="O28" s="5">
        <v>6377.0</v>
      </c>
      <c r="P28" s="5">
        <v>5353.0</v>
      </c>
      <c r="Q28" s="5">
        <v>4038.0</v>
      </c>
      <c r="R28" s="5">
        <v>2649.0</v>
      </c>
      <c r="S28" s="5">
        <v>1830.0</v>
      </c>
      <c r="T28" s="5">
        <v>2494.0</v>
      </c>
      <c r="U28" s="5">
        <v>82274.0</v>
      </c>
      <c r="V28" s="5">
        <v>7058.0</v>
      </c>
      <c r="W28" s="5">
        <v>8263.0</v>
      </c>
      <c r="X28" s="5">
        <v>8664.0</v>
      </c>
      <c r="Y28" s="5">
        <v>8675.0</v>
      </c>
      <c r="Z28" s="5">
        <v>7848.0</v>
      </c>
      <c r="AA28" s="5">
        <v>7026.0</v>
      </c>
      <c r="AB28" s="5">
        <v>6206.0</v>
      </c>
      <c r="AC28" s="5">
        <v>5237.0</v>
      </c>
      <c r="AD28" s="5">
        <v>4518.0</v>
      </c>
      <c r="AE28" s="5">
        <v>4023.0</v>
      </c>
      <c r="AF28" s="5">
        <v>3919.0</v>
      </c>
      <c r="AG28" s="5">
        <v>3331.0</v>
      </c>
      <c r="AH28" s="5">
        <v>2731.0</v>
      </c>
      <c r="AI28" s="5">
        <v>2023.0</v>
      </c>
      <c r="AJ28" s="5">
        <v>1155.0</v>
      </c>
      <c r="AK28" s="5">
        <v>751.0</v>
      </c>
      <c r="AL28" s="5">
        <v>846.0</v>
      </c>
      <c r="AM28" s="5">
        <v>75926.0</v>
      </c>
      <c r="AN28" s="5">
        <v>6549.0</v>
      </c>
      <c r="AO28" s="5">
        <v>7546.0</v>
      </c>
      <c r="AP28" s="5">
        <v>8057.0</v>
      </c>
      <c r="AQ28" s="5">
        <v>8137.0</v>
      </c>
      <c r="AR28" s="5">
        <v>6837.0</v>
      </c>
      <c r="AS28" s="5">
        <v>6157.0</v>
      </c>
      <c r="AT28" s="5">
        <v>5522.0</v>
      </c>
      <c r="AU28" s="5">
        <v>4489.0</v>
      </c>
      <c r="AV28" s="5">
        <v>3955.0</v>
      </c>
      <c r="AW28" s="5">
        <v>3477.0</v>
      </c>
      <c r="AX28" s="5">
        <v>3296.0</v>
      </c>
      <c r="AY28" s="5">
        <v>3046.0</v>
      </c>
      <c r="AZ28" s="5">
        <v>2622.0</v>
      </c>
      <c r="BA28" s="5">
        <v>2015.0</v>
      </c>
      <c r="BB28" s="5">
        <v>1494.0</v>
      </c>
      <c r="BC28" s="5">
        <v>1079.0</v>
      </c>
      <c r="BD28" s="5">
        <v>1648.0</v>
      </c>
      <c r="BE28" s="4"/>
      <c r="BF28" s="4"/>
      <c r="BG28" s="4"/>
      <c r="BH28" s="4"/>
      <c r="BI28" s="4"/>
      <c r="BJ28" s="4"/>
    </row>
    <row r="29">
      <c r="A29" s="5"/>
      <c r="B29" s="5" t="s">
        <v>120</v>
      </c>
      <c r="C29" s="5">
        <v>366358.0</v>
      </c>
      <c r="D29" s="5">
        <v>26596.0</v>
      </c>
      <c r="E29" s="5">
        <v>28867.0</v>
      </c>
      <c r="F29" s="5">
        <v>30755.0</v>
      </c>
      <c r="G29" s="5">
        <v>35030.0</v>
      </c>
      <c r="H29" s="5">
        <v>40664.0</v>
      </c>
      <c r="I29" s="5">
        <v>36129.0</v>
      </c>
      <c r="J29" s="5">
        <v>31039.0</v>
      </c>
      <c r="K29" s="5">
        <v>27853.0</v>
      </c>
      <c r="L29" s="5">
        <v>23203.0</v>
      </c>
      <c r="M29" s="5">
        <v>19525.0</v>
      </c>
      <c r="N29" s="5">
        <v>18255.0</v>
      </c>
      <c r="O29" s="5">
        <v>15504.0</v>
      </c>
      <c r="P29" s="5">
        <v>12395.0</v>
      </c>
      <c r="Q29" s="5">
        <v>8608.0</v>
      </c>
      <c r="R29" s="5">
        <v>5475.0</v>
      </c>
      <c r="S29" s="5">
        <v>3000.0</v>
      </c>
      <c r="T29" s="5">
        <v>3460.0</v>
      </c>
      <c r="U29" s="5">
        <v>181350.0</v>
      </c>
      <c r="V29" s="5">
        <v>13734.0</v>
      </c>
      <c r="W29" s="5">
        <v>15115.0</v>
      </c>
      <c r="X29" s="5">
        <v>15765.0</v>
      </c>
      <c r="Y29" s="5">
        <v>17656.0</v>
      </c>
      <c r="Z29" s="5">
        <v>20341.0</v>
      </c>
      <c r="AA29" s="5">
        <v>18081.0</v>
      </c>
      <c r="AB29" s="5">
        <v>15506.0</v>
      </c>
      <c r="AC29" s="5">
        <v>14024.0</v>
      </c>
      <c r="AD29" s="5">
        <v>11494.0</v>
      </c>
      <c r="AE29" s="5">
        <v>9644.0</v>
      </c>
      <c r="AF29" s="5">
        <v>8745.0</v>
      </c>
      <c r="AG29" s="5">
        <v>7317.0</v>
      </c>
      <c r="AH29" s="5">
        <v>5750.0</v>
      </c>
      <c r="AI29" s="5">
        <v>3681.0</v>
      </c>
      <c r="AJ29" s="5">
        <v>2332.0</v>
      </c>
      <c r="AK29" s="5">
        <v>1108.0</v>
      </c>
      <c r="AL29" s="5">
        <v>1057.0</v>
      </c>
      <c r="AM29" s="5">
        <v>185008.0</v>
      </c>
      <c r="AN29" s="5">
        <v>12862.0</v>
      </c>
      <c r="AO29" s="5">
        <v>13752.0</v>
      </c>
      <c r="AP29" s="5">
        <v>14990.0</v>
      </c>
      <c r="AQ29" s="5">
        <v>17374.0</v>
      </c>
      <c r="AR29" s="5">
        <v>20323.0</v>
      </c>
      <c r="AS29" s="5">
        <v>18048.0</v>
      </c>
      <c r="AT29" s="5">
        <v>15533.0</v>
      </c>
      <c r="AU29" s="5">
        <v>13829.0</v>
      </c>
      <c r="AV29" s="5">
        <v>11709.0</v>
      </c>
      <c r="AW29" s="5">
        <v>9881.0</v>
      </c>
      <c r="AX29" s="5">
        <v>9510.0</v>
      </c>
      <c r="AY29" s="5">
        <v>8187.0</v>
      </c>
      <c r="AZ29" s="5">
        <v>6645.0</v>
      </c>
      <c r="BA29" s="5">
        <v>4927.0</v>
      </c>
      <c r="BB29" s="5">
        <v>3143.0</v>
      </c>
      <c r="BC29" s="5">
        <v>1892.0</v>
      </c>
      <c r="BD29" s="5">
        <v>2403.0</v>
      </c>
      <c r="BE29" s="4"/>
      <c r="BF29" s="4"/>
      <c r="BG29" s="4"/>
      <c r="BH29" s="4"/>
      <c r="BI29" s="4"/>
      <c r="BJ29" s="4"/>
    </row>
    <row r="30">
      <c r="A30" s="5"/>
      <c r="B30" s="5" t="s">
        <v>121</v>
      </c>
      <c r="C30" s="5">
        <v>5301139.0</v>
      </c>
      <c r="D30" s="5">
        <v>479917.0</v>
      </c>
      <c r="E30" s="5">
        <v>499613.0</v>
      </c>
      <c r="F30" s="5">
        <v>514741.0</v>
      </c>
      <c r="G30" s="5">
        <v>501884.0</v>
      </c>
      <c r="H30" s="5">
        <v>463796.0</v>
      </c>
      <c r="I30" s="5">
        <v>422818.0</v>
      </c>
      <c r="J30" s="5">
        <v>380740.0</v>
      </c>
      <c r="K30" s="5">
        <v>357248.0</v>
      </c>
      <c r="L30" s="5">
        <v>324662.0</v>
      </c>
      <c r="M30" s="5">
        <v>286913.0</v>
      </c>
      <c r="N30" s="5">
        <v>264095.0</v>
      </c>
      <c r="O30" s="5">
        <v>226610.0</v>
      </c>
      <c r="P30" s="5">
        <v>190179.0</v>
      </c>
      <c r="Q30" s="5">
        <v>141470.0</v>
      </c>
      <c r="R30" s="5">
        <v>104558.0</v>
      </c>
      <c r="S30" s="5">
        <v>65510.0</v>
      </c>
      <c r="T30" s="5">
        <v>76385.0</v>
      </c>
      <c r="U30" s="5">
        <v>2687491.0</v>
      </c>
      <c r="V30" s="5">
        <v>248735.0</v>
      </c>
      <c r="W30" s="5">
        <v>260004.0</v>
      </c>
      <c r="X30" s="5">
        <v>267358.0</v>
      </c>
      <c r="Y30" s="5">
        <v>259213.0</v>
      </c>
      <c r="Z30" s="5">
        <v>239327.0</v>
      </c>
      <c r="AA30" s="5">
        <v>217967.0</v>
      </c>
      <c r="AB30" s="5">
        <v>195979.0</v>
      </c>
      <c r="AC30" s="5">
        <v>183649.0</v>
      </c>
      <c r="AD30" s="5">
        <v>167603.0</v>
      </c>
      <c r="AE30" s="5">
        <v>147841.0</v>
      </c>
      <c r="AF30" s="5">
        <v>134718.0</v>
      </c>
      <c r="AG30" s="5">
        <v>113452.0</v>
      </c>
      <c r="AH30" s="5">
        <v>92627.0</v>
      </c>
      <c r="AI30" s="5">
        <v>65348.0</v>
      </c>
      <c r="AJ30" s="5">
        <v>44468.0</v>
      </c>
      <c r="AK30" s="5">
        <v>24767.0</v>
      </c>
      <c r="AL30" s="5">
        <v>24435.0</v>
      </c>
      <c r="AM30" s="5">
        <v>2613648.0</v>
      </c>
      <c r="AN30" s="5">
        <v>231182.0</v>
      </c>
      <c r="AO30" s="5">
        <v>239609.0</v>
      </c>
      <c r="AP30" s="5">
        <v>247383.0</v>
      </c>
      <c r="AQ30" s="5">
        <v>242671.0</v>
      </c>
      <c r="AR30" s="5">
        <v>224469.0</v>
      </c>
      <c r="AS30" s="5">
        <v>204851.0</v>
      </c>
      <c r="AT30" s="5">
        <v>184761.0</v>
      </c>
      <c r="AU30" s="5">
        <v>173599.0</v>
      </c>
      <c r="AV30" s="5">
        <v>157059.0</v>
      </c>
      <c r="AW30" s="5">
        <v>139072.0</v>
      </c>
      <c r="AX30" s="5">
        <v>129377.0</v>
      </c>
      <c r="AY30" s="5">
        <v>113158.0</v>
      </c>
      <c r="AZ30" s="5">
        <v>97552.0</v>
      </c>
      <c r="BA30" s="5">
        <v>76122.0</v>
      </c>
      <c r="BB30" s="5">
        <v>60090.0</v>
      </c>
      <c r="BC30" s="5">
        <v>40743.0</v>
      </c>
      <c r="BD30" s="5">
        <v>51950.0</v>
      </c>
      <c r="BE30" s="4"/>
      <c r="BF30" s="4"/>
      <c r="BG30" s="4"/>
      <c r="BH30" s="4"/>
      <c r="BI30" s="4"/>
      <c r="BJ30" s="4"/>
    </row>
    <row r="31">
      <c r="A31" s="5"/>
      <c r="B31" s="5" t="s">
        <v>122</v>
      </c>
      <c r="C31" s="5">
        <v>609588.0</v>
      </c>
      <c r="D31" s="5">
        <v>46568.0</v>
      </c>
      <c r="E31" s="5">
        <v>49231.0</v>
      </c>
      <c r="F31" s="5">
        <v>55261.0</v>
      </c>
      <c r="G31" s="5">
        <v>54061.0</v>
      </c>
      <c r="H31" s="5">
        <v>52276.0</v>
      </c>
      <c r="I31" s="5">
        <v>48389.0</v>
      </c>
      <c r="J31" s="5">
        <v>45544.0</v>
      </c>
      <c r="K31" s="5">
        <v>44280.0</v>
      </c>
      <c r="L31" s="5">
        <v>39544.0</v>
      </c>
      <c r="M31" s="5">
        <v>35421.0</v>
      </c>
      <c r="N31" s="5">
        <v>33428.0</v>
      </c>
      <c r="O31" s="5">
        <v>28379.0</v>
      </c>
      <c r="P31" s="5">
        <v>23701.0</v>
      </c>
      <c r="Q31" s="5">
        <v>18091.0</v>
      </c>
      <c r="R31" s="5">
        <v>13401.0</v>
      </c>
      <c r="S31" s="5">
        <v>9753.0</v>
      </c>
      <c r="T31" s="5">
        <v>12260.0</v>
      </c>
      <c r="U31" s="5">
        <v>306830.0</v>
      </c>
      <c r="V31" s="5">
        <v>24062.0</v>
      </c>
      <c r="W31" s="5">
        <v>25724.0</v>
      </c>
      <c r="X31" s="5">
        <v>28780.0</v>
      </c>
      <c r="Y31" s="5">
        <v>28024.0</v>
      </c>
      <c r="Z31" s="5">
        <v>27102.0</v>
      </c>
      <c r="AA31" s="5">
        <v>24652.0</v>
      </c>
      <c r="AB31" s="5">
        <v>23386.0</v>
      </c>
      <c r="AC31" s="5">
        <v>22925.0</v>
      </c>
      <c r="AD31" s="5">
        <v>20360.0</v>
      </c>
      <c r="AE31" s="5">
        <v>18134.0</v>
      </c>
      <c r="AF31" s="5">
        <v>16869.0</v>
      </c>
      <c r="AG31" s="5">
        <v>13910.0</v>
      </c>
      <c r="AH31" s="5">
        <v>11263.0</v>
      </c>
      <c r="AI31" s="5">
        <v>8159.0</v>
      </c>
      <c r="AJ31" s="5">
        <v>5606.0</v>
      </c>
      <c r="AK31" s="5">
        <v>3768.0</v>
      </c>
      <c r="AL31" s="5">
        <v>4106.0</v>
      </c>
      <c r="AM31" s="5">
        <v>302758.0</v>
      </c>
      <c r="AN31" s="5">
        <v>22506.0</v>
      </c>
      <c r="AO31" s="5">
        <v>23507.0</v>
      </c>
      <c r="AP31" s="5">
        <v>26481.0</v>
      </c>
      <c r="AQ31" s="5">
        <v>26037.0</v>
      </c>
      <c r="AR31" s="5">
        <v>25174.0</v>
      </c>
      <c r="AS31" s="5">
        <v>23737.0</v>
      </c>
      <c r="AT31" s="5">
        <v>22158.0</v>
      </c>
      <c r="AU31" s="5">
        <v>21355.0</v>
      </c>
      <c r="AV31" s="5">
        <v>19184.0</v>
      </c>
      <c r="AW31" s="5">
        <v>17287.0</v>
      </c>
      <c r="AX31" s="5">
        <v>16559.0</v>
      </c>
      <c r="AY31" s="5">
        <v>14469.0</v>
      </c>
      <c r="AZ31" s="5">
        <v>12438.0</v>
      </c>
      <c r="BA31" s="5">
        <v>9932.0</v>
      </c>
      <c r="BB31" s="5">
        <v>7795.0</v>
      </c>
      <c r="BC31" s="5">
        <v>5985.0</v>
      </c>
      <c r="BD31" s="5">
        <v>8154.0</v>
      </c>
      <c r="BE31" s="4"/>
      <c r="BF31" s="4"/>
      <c r="BG31" s="4"/>
      <c r="BH31" s="4"/>
      <c r="BI31" s="4"/>
      <c r="BJ31" s="4"/>
    </row>
    <row r="32">
      <c r="A32" s="5"/>
      <c r="B32" s="5" t="s">
        <v>123</v>
      </c>
      <c r="C32" s="5">
        <v>706009.0</v>
      </c>
      <c r="D32" s="5">
        <v>53050.0</v>
      </c>
      <c r="E32" s="5">
        <v>60014.0</v>
      </c>
      <c r="F32" s="5">
        <v>65788.0</v>
      </c>
      <c r="G32" s="5">
        <v>64584.0</v>
      </c>
      <c r="H32" s="5">
        <v>59253.0</v>
      </c>
      <c r="I32" s="5">
        <v>56544.0</v>
      </c>
      <c r="J32" s="5">
        <v>51408.0</v>
      </c>
      <c r="K32" s="5">
        <v>49895.0</v>
      </c>
      <c r="L32" s="5">
        <v>45931.0</v>
      </c>
      <c r="M32" s="5">
        <v>39939.0</v>
      </c>
      <c r="N32" s="5">
        <v>37384.0</v>
      </c>
      <c r="O32" s="5">
        <v>33263.0</v>
      </c>
      <c r="P32" s="5">
        <v>27704.0</v>
      </c>
      <c r="Q32" s="5">
        <v>21505.0</v>
      </c>
      <c r="R32" s="5">
        <v>15189.0</v>
      </c>
      <c r="S32" s="5">
        <v>10641.0</v>
      </c>
      <c r="T32" s="5">
        <v>13917.0</v>
      </c>
      <c r="U32" s="5">
        <v>357026.0</v>
      </c>
      <c r="V32" s="5">
        <v>27619.0</v>
      </c>
      <c r="W32" s="5">
        <v>31235.0</v>
      </c>
      <c r="X32" s="5">
        <v>34008.0</v>
      </c>
      <c r="Y32" s="5">
        <v>33364.0</v>
      </c>
      <c r="Z32" s="5">
        <v>30744.0</v>
      </c>
      <c r="AA32" s="5">
        <v>29281.0</v>
      </c>
      <c r="AB32" s="5">
        <v>26571.0</v>
      </c>
      <c r="AC32" s="5">
        <v>25714.0</v>
      </c>
      <c r="AD32" s="5">
        <v>23878.0</v>
      </c>
      <c r="AE32" s="5">
        <v>20616.0</v>
      </c>
      <c r="AF32" s="5">
        <v>19265.0</v>
      </c>
      <c r="AG32" s="5">
        <v>16753.0</v>
      </c>
      <c r="AH32" s="5">
        <v>13461.0</v>
      </c>
      <c r="AI32" s="5">
        <v>9820.0</v>
      </c>
      <c r="AJ32" s="5">
        <v>6411.0</v>
      </c>
      <c r="AK32" s="5">
        <v>3876.0</v>
      </c>
      <c r="AL32" s="5">
        <v>4410.0</v>
      </c>
      <c r="AM32" s="5">
        <v>348983.0</v>
      </c>
      <c r="AN32" s="5">
        <v>25431.0</v>
      </c>
      <c r="AO32" s="5">
        <v>28779.0</v>
      </c>
      <c r="AP32" s="5">
        <v>31780.0</v>
      </c>
      <c r="AQ32" s="5">
        <v>31220.0</v>
      </c>
      <c r="AR32" s="5">
        <v>28509.0</v>
      </c>
      <c r="AS32" s="5">
        <v>27263.0</v>
      </c>
      <c r="AT32" s="5">
        <v>24837.0</v>
      </c>
      <c r="AU32" s="5">
        <v>24181.0</v>
      </c>
      <c r="AV32" s="5">
        <v>22053.0</v>
      </c>
      <c r="AW32" s="5">
        <v>19323.0</v>
      </c>
      <c r="AX32" s="5">
        <v>18119.0</v>
      </c>
      <c r="AY32" s="5">
        <v>16510.0</v>
      </c>
      <c r="AZ32" s="5">
        <v>14243.0</v>
      </c>
      <c r="BA32" s="5">
        <v>11685.0</v>
      </c>
      <c r="BB32" s="5">
        <v>8778.0</v>
      </c>
      <c r="BC32" s="5">
        <v>6765.0</v>
      </c>
      <c r="BD32" s="5">
        <v>9507.0</v>
      </c>
      <c r="BE32" s="4"/>
      <c r="BF32" s="4"/>
      <c r="BG32" s="4"/>
      <c r="BH32" s="4"/>
      <c r="BI32" s="4"/>
      <c r="BJ32" s="4"/>
    </row>
    <row r="33">
      <c r="A33" s="5"/>
      <c r="B33" s="5" t="s">
        <v>124</v>
      </c>
      <c r="C33" s="5">
        <v>822352.0</v>
      </c>
      <c r="D33" s="5">
        <v>67913.0</v>
      </c>
      <c r="E33" s="5">
        <v>72665.0</v>
      </c>
      <c r="F33" s="5">
        <v>75521.0</v>
      </c>
      <c r="G33" s="5">
        <v>75169.0</v>
      </c>
      <c r="H33" s="5">
        <v>72716.0</v>
      </c>
      <c r="I33" s="5">
        <v>67261.0</v>
      </c>
      <c r="J33" s="5">
        <v>61199.0</v>
      </c>
      <c r="K33" s="5">
        <v>57510.0</v>
      </c>
      <c r="L33" s="5">
        <v>51841.0</v>
      </c>
      <c r="M33" s="5">
        <v>45483.0</v>
      </c>
      <c r="N33" s="5">
        <v>42722.0</v>
      </c>
      <c r="O33" s="5">
        <v>37649.0</v>
      </c>
      <c r="P33" s="5">
        <v>32231.0</v>
      </c>
      <c r="Q33" s="5">
        <v>23578.0</v>
      </c>
      <c r="R33" s="5">
        <v>16886.0</v>
      </c>
      <c r="S33" s="5">
        <v>9742.0</v>
      </c>
      <c r="T33" s="5">
        <v>12266.0</v>
      </c>
      <c r="U33" s="5">
        <v>416270.0</v>
      </c>
      <c r="V33" s="5">
        <v>35215.0</v>
      </c>
      <c r="W33" s="5">
        <v>37901.0</v>
      </c>
      <c r="X33" s="5">
        <v>39176.0</v>
      </c>
      <c r="Y33" s="5">
        <v>38830.0</v>
      </c>
      <c r="Z33" s="5">
        <v>37500.0</v>
      </c>
      <c r="AA33" s="5">
        <v>34611.0</v>
      </c>
      <c r="AB33" s="5">
        <v>31397.0</v>
      </c>
      <c r="AC33" s="5">
        <v>29583.0</v>
      </c>
      <c r="AD33" s="5">
        <v>26693.0</v>
      </c>
      <c r="AE33" s="5">
        <v>23427.0</v>
      </c>
      <c r="AF33" s="5">
        <v>21835.0</v>
      </c>
      <c r="AG33" s="5">
        <v>18786.0</v>
      </c>
      <c r="AH33" s="5">
        <v>15656.0</v>
      </c>
      <c r="AI33" s="5">
        <v>10915.0</v>
      </c>
      <c r="AJ33" s="5">
        <v>7162.0</v>
      </c>
      <c r="AK33" s="5">
        <v>3726.0</v>
      </c>
      <c r="AL33" s="5">
        <v>3857.0</v>
      </c>
      <c r="AM33" s="5">
        <v>406082.0</v>
      </c>
      <c r="AN33" s="5">
        <v>32698.0</v>
      </c>
      <c r="AO33" s="5">
        <v>34764.0</v>
      </c>
      <c r="AP33" s="5">
        <v>36345.0</v>
      </c>
      <c r="AQ33" s="5">
        <v>36339.0</v>
      </c>
      <c r="AR33" s="5">
        <v>35216.0</v>
      </c>
      <c r="AS33" s="5">
        <v>32650.0</v>
      </c>
      <c r="AT33" s="5">
        <v>29802.0</v>
      </c>
      <c r="AU33" s="5">
        <v>27927.0</v>
      </c>
      <c r="AV33" s="5">
        <v>25148.0</v>
      </c>
      <c r="AW33" s="5">
        <v>22056.0</v>
      </c>
      <c r="AX33" s="5">
        <v>20887.0</v>
      </c>
      <c r="AY33" s="5">
        <v>18863.0</v>
      </c>
      <c r="AZ33" s="5">
        <v>16575.0</v>
      </c>
      <c r="BA33" s="5">
        <v>12663.0</v>
      </c>
      <c r="BB33" s="5">
        <v>9724.0</v>
      </c>
      <c r="BC33" s="5">
        <v>6016.0</v>
      </c>
      <c r="BD33" s="5">
        <v>8409.0</v>
      </c>
      <c r="BE33" s="4"/>
      <c r="BF33" s="4"/>
      <c r="BG33" s="4"/>
      <c r="BH33" s="4"/>
      <c r="BI33" s="4"/>
      <c r="BJ33" s="4"/>
    </row>
    <row r="34">
      <c r="A34" s="5"/>
      <c r="B34" s="5" t="s">
        <v>125</v>
      </c>
      <c r="C34" s="5">
        <v>3163190.0</v>
      </c>
      <c r="D34" s="5">
        <v>312386.0</v>
      </c>
      <c r="E34" s="5">
        <v>317703.0</v>
      </c>
      <c r="F34" s="5">
        <v>318171.0</v>
      </c>
      <c r="G34" s="5">
        <v>308070.0</v>
      </c>
      <c r="H34" s="5">
        <v>279551.0</v>
      </c>
      <c r="I34" s="5">
        <v>250624.0</v>
      </c>
      <c r="J34" s="5">
        <v>222589.0</v>
      </c>
      <c r="K34" s="5">
        <v>205563.0</v>
      </c>
      <c r="L34" s="5">
        <v>187346.0</v>
      </c>
      <c r="M34" s="5">
        <v>166070.0</v>
      </c>
      <c r="N34" s="5">
        <v>150561.0</v>
      </c>
      <c r="O34" s="5">
        <v>127319.0</v>
      </c>
      <c r="P34" s="5">
        <v>106543.0</v>
      </c>
      <c r="Q34" s="5">
        <v>78296.0</v>
      </c>
      <c r="R34" s="5">
        <v>59082.0</v>
      </c>
      <c r="S34" s="5">
        <v>35374.0</v>
      </c>
      <c r="T34" s="5">
        <v>37942.0</v>
      </c>
      <c r="U34" s="5">
        <v>1607365.0</v>
      </c>
      <c r="V34" s="5">
        <v>161839.0</v>
      </c>
      <c r="W34" s="5">
        <v>165144.0</v>
      </c>
      <c r="X34" s="5">
        <v>165394.0</v>
      </c>
      <c r="Y34" s="5">
        <v>158995.0</v>
      </c>
      <c r="Z34" s="5">
        <v>143981.0</v>
      </c>
      <c r="AA34" s="5">
        <v>129423.0</v>
      </c>
      <c r="AB34" s="5">
        <v>114625.0</v>
      </c>
      <c r="AC34" s="5">
        <v>105427.0</v>
      </c>
      <c r="AD34" s="5">
        <v>96672.0</v>
      </c>
      <c r="AE34" s="5">
        <v>85664.0</v>
      </c>
      <c r="AF34" s="5">
        <v>76749.0</v>
      </c>
      <c r="AG34" s="5">
        <v>64003.0</v>
      </c>
      <c r="AH34" s="5">
        <v>52247.0</v>
      </c>
      <c r="AI34" s="5">
        <v>36454.0</v>
      </c>
      <c r="AJ34" s="5">
        <v>25289.0</v>
      </c>
      <c r="AK34" s="5">
        <v>13397.0</v>
      </c>
      <c r="AL34" s="5">
        <v>12062.0</v>
      </c>
      <c r="AM34" s="5">
        <v>1555825.0</v>
      </c>
      <c r="AN34" s="5">
        <v>150547.0</v>
      </c>
      <c r="AO34" s="5">
        <v>152559.0</v>
      </c>
      <c r="AP34" s="5">
        <v>152777.0</v>
      </c>
      <c r="AQ34" s="5">
        <v>149075.0</v>
      </c>
      <c r="AR34" s="5">
        <v>135570.0</v>
      </c>
      <c r="AS34" s="5">
        <v>121201.0</v>
      </c>
      <c r="AT34" s="5">
        <v>107964.0</v>
      </c>
      <c r="AU34" s="5">
        <v>100136.0</v>
      </c>
      <c r="AV34" s="5">
        <v>90674.0</v>
      </c>
      <c r="AW34" s="5">
        <v>80406.0</v>
      </c>
      <c r="AX34" s="5">
        <v>73812.0</v>
      </c>
      <c r="AY34" s="5">
        <v>63316.0</v>
      </c>
      <c r="AZ34" s="5">
        <v>54296.0</v>
      </c>
      <c r="BA34" s="5">
        <v>41842.0</v>
      </c>
      <c r="BB34" s="5">
        <v>33793.0</v>
      </c>
      <c r="BC34" s="5">
        <v>21977.0</v>
      </c>
      <c r="BD34" s="5">
        <v>25880.0</v>
      </c>
      <c r="BE34" s="4"/>
      <c r="BF34" s="4"/>
      <c r="BG34" s="4"/>
      <c r="BH34" s="4"/>
      <c r="BI34" s="4"/>
      <c r="BJ34" s="4"/>
    </row>
    <row r="35">
      <c r="A35" s="5"/>
      <c r="B35" s="5" t="s">
        <v>126</v>
      </c>
      <c r="C35" s="5">
        <v>3685744.0</v>
      </c>
      <c r="D35" s="5">
        <v>330685.0</v>
      </c>
      <c r="E35" s="5">
        <v>361018.0</v>
      </c>
      <c r="F35" s="5">
        <v>366748.0</v>
      </c>
      <c r="G35" s="5">
        <v>346208.0</v>
      </c>
      <c r="H35" s="5">
        <v>330729.0</v>
      </c>
      <c r="I35" s="5">
        <v>305415.0</v>
      </c>
      <c r="J35" s="5">
        <v>273296.0</v>
      </c>
      <c r="K35" s="5">
        <v>244863.0</v>
      </c>
      <c r="L35" s="5">
        <v>229559.0</v>
      </c>
      <c r="M35" s="5">
        <v>200146.0</v>
      </c>
      <c r="N35" s="5">
        <v>179805.0</v>
      </c>
      <c r="O35" s="5">
        <v>158618.0</v>
      </c>
      <c r="P35" s="5">
        <v>131229.0</v>
      </c>
      <c r="Q35" s="5">
        <v>93741.0</v>
      </c>
      <c r="R35" s="5">
        <v>58781.0</v>
      </c>
      <c r="S35" s="5">
        <v>34143.0</v>
      </c>
      <c r="T35" s="5">
        <v>40760.0</v>
      </c>
      <c r="U35" s="5">
        <v>1879118.0</v>
      </c>
      <c r="V35" s="5">
        <v>170477.0</v>
      </c>
      <c r="W35" s="5">
        <v>187828.0</v>
      </c>
      <c r="X35" s="5">
        <v>189092.0</v>
      </c>
      <c r="Y35" s="5">
        <v>178346.0</v>
      </c>
      <c r="Z35" s="5">
        <v>170243.0</v>
      </c>
      <c r="AA35" s="5">
        <v>157083.0</v>
      </c>
      <c r="AB35" s="5">
        <v>141594.0</v>
      </c>
      <c r="AC35" s="5">
        <v>127077.0</v>
      </c>
      <c r="AD35" s="5">
        <v>119291.0</v>
      </c>
      <c r="AE35" s="5">
        <v>104074.0</v>
      </c>
      <c r="AF35" s="5">
        <v>92265.0</v>
      </c>
      <c r="AG35" s="5">
        <v>80283.0</v>
      </c>
      <c r="AH35" s="5">
        <v>64707.0</v>
      </c>
      <c r="AI35" s="5">
        <v>44099.0</v>
      </c>
      <c r="AJ35" s="5">
        <v>25553.0</v>
      </c>
      <c r="AK35" s="5">
        <v>13390.0</v>
      </c>
      <c r="AL35" s="5">
        <v>13716.0</v>
      </c>
      <c r="AM35" s="5">
        <v>1806626.0</v>
      </c>
      <c r="AN35" s="5">
        <v>160208.0</v>
      </c>
      <c r="AO35" s="5">
        <v>173190.0</v>
      </c>
      <c r="AP35" s="5">
        <v>177656.0</v>
      </c>
      <c r="AQ35" s="5">
        <v>167862.0</v>
      </c>
      <c r="AR35" s="5">
        <v>160486.0</v>
      </c>
      <c r="AS35" s="5">
        <v>148332.0</v>
      </c>
      <c r="AT35" s="5">
        <v>131702.0</v>
      </c>
      <c r="AU35" s="5">
        <v>117786.0</v>
      </c>
      <c r="AV35" s="5">
        <v>110268.0</v>
      </c>
      <c r="AW35" s="5">
        <v>96072.0</v>
      </c>
      <c r="AX35" s="5">
        <v>87540.0</v>
      </c>
      <c r="AY35" s="5">
        <v>78335.0</v>
      </c>
      <c r="AZ35" s="5">
        <v>66522.0</v>
      </c>
      <c r="BA35" s="5">
        <v>49642.0</v>
      </c>
      <c r="BB35" s="5">
        <v>33228.0</v>
      </c>
      <c r="BC35" s="5">
        <v>20753.0</v>
      </c>
      <c r="BD35" s="5">
        <v>27044.0</v>
      </c>
      <c r="BE35" s="4"/>
      <c r="BF35" s="4"/>
      <c r="BG35" s="4"/>
      <c r="BH35" s="4"/>
      <c r="BI35" s="4"/>
      <c r="BJ35" s="4"/>
    </row>
    <row r="36">
      <c r="A36" s="5"/>
      <c r="B36" s="5" t="s">
        <v>127</v>
      </c>
      <c r="C36" s="5">
        <v>18831.0</v>
      </c>
      <c r="D36" s="5">
        <v>1342.0</v>
      </c>
      <c r="E36" s="5">
        <v>1518.0</v>
      </c>
      <c r="F36" s="5">
        <v>1656.0</v>
      </c>
      <c r="G36" s="5">
        <v>1802.0</v>
      </c>
      <c r="H36" s="5">
        <v>1647.0</v>
      </c>
      <c r="I36" s="5">
        <v>1553.0</v>
      </c>
      <c r="J36" s="5">
        <v>1331.0</v>
      </c>
      <c r="K36" s="5">
        <v>1228.0</v>
      </c>
      <c r="L36" s="5">
        <v>1218.0</v>
      </c>
      <c r="M36" s="5">
        <v>1206.0</v>
      </c>
      <c r="N36" s="5">
        <v>1039.0</v>
      </c>
      <c r="O36" s="5">
        <v>903.0</v>
      </c>
      <c r="P36" s="5">
        <v>684.0</v>
      </c>
      <c r="Q36" s="5">
        <v>561.0</v>
      </c>
      <c r="R36" s="5">
        <v>387.0</v>
      </c>
      <c r="S36" s="5">
        <v>318.0</v>
      </c>
      <c r="T36" s="5">
        <v>438.0</v>
      </c>
      <c r="U36" s="5">
        <v>9769.0</v>
      </c>
      <c r="V36" s="5">
        <v>684.0</v>
      </c>
      <c r="W36" s="5">
        <v>828.0</v>
      </c>
      <c r="X36" s="5">
        <v>863.0</v>
      </c>
      <c r="Y36" s="5">
        <v>928.0</v>
      </c>
      <c r="Z36" s="5">
        <v>901.0</v>
      </c>
      <c r="AA36" s="5">
        <v>883.0</v>
      </c>
      <c r="AB36" s="5">
        <v>722.0</v>
      </c>
      <c r="AC36" s="5">
        <v>646.0</v>
      </c>
      <c r="AD36" s="5">
        <v>676.0</v>
      </c>
      <c r="AE36" s="5">
        <v>628.0</v>
      </c>
      <c r="AF36" s="5">
        <v>552.0</v>
      </c>
      <c r="AG36" s="5">
        <v>476.0</v>
      </c>
      <c r="AH36" s="5">
        <v>327.0</v>
      </c>
      <c r="AI36" s="5">
        <v>262.0</v>
      </c>
      <c r="AJ36" s="5">
        <v>160.0</v>
      </c>
      <c r="AK36" s="5">
        <v>115.0</v>
      </c>
      <c r="AL36" s="5">
        <v>118.0</v>
      </c>
      <c r="AM36" s="5">
        <v>9062.0</v>
      </c>
      <c r="AN36" s="5">
        <v>658.0</v>
      </c>
      <c r="AO36" s="5">
        <v>690.0</v>
      </c>
      <c r="AP36" s="5">
        <v>793.0</v>
      </c>
      <c r="AQ36" s="5">
        <v>874.0</v>
      </c>
      <c r="AR36" s="5">
        <v>746.0</v>
      </c>
      <c r="AS36" s="5">
        <v>670.0</v>
      </c>
      <c r="AT36" s="5">
        <v>609.0</v>
      </c>
      <c r="AU36" s="5">
        <v>582.0</v>
      </c>
      <c r="AV36" s="5">
        <v>542.0</v>
      </c>
      <c r="AW36" s="5">
        <v>578.0</v>
      </c>
      <c r="AX36" s="5">
        <v>487.0</v>
      </c>
      <c r="AY36" s="5">
        <v>427.0</v>
      </c>
      <c r="AZ36" s="5">
        <v>357.0</v>
      </c>
      <c r="BA36" s="5">
        <v>299.0</v>
      </c>
      <c r="BB36" s="5">
        <v>227.0</v>
      </c>
      <c r="BC36" s="5">
        <v>203.0</v>
      </c>
      <c r="BD36" s="5">
        <v>320.0</v>
      </c>
      <c r="BE36" s="4"/>
      <c r="BF36" s="4"/>
      <c r="BG36" s="4"/>
      <c r="BH36" s="4"/>
      <c r="BI36" s="4"/>
      <c r="BJ36" s="4"/>
    </row>
    <row r="37">
      <c r="A37" s="5"/>
      <c r="B37" s="5" t="s">
        <v>128</v>
      </c>
      <c r="C37" s="5">
        <v>1268603.0</v>
      </c>
      <c r="D37" s="5">
        <v>109780.0</v>
      </c>
      <c r="E37" s="5">
        <v>123765.0</v>
      </c>
      <c r="F37" s="5">
        <v>126101.0</v>
      </c>
      <c r="G37" s="5">
        <v>118821.0</v>
      </c>
      <c r="H37" s="5">
        <v>115263.0</v>
      </c>
      <c r="I37" s="5">
        <v>104335.0</v>
      </c>
      <c r="J37" s="5">
        <v>92098.0</v>
      </c>
      <c r="K37" s="5">
        <v>83379.0</v>
      </c>
      <c r="L37" s="5">
        <v>77639.0</v>
      </c>
      <c r="M37" s="5">
        <v>68511.0</v>
      </c>
      <c r="N37" s="5">
        <v>61405.0</v>
      </c>
      <c r="O37" s="5">
        <v>55650.0</v>
      </c>
      <c r="P37" s="5">
        <v>47176.0</v>
      </c>
      <c r="Q37" s="5">
        <v>34171.0</v>
      </c>
      <c r="R37" s="5">
        <v>21137.0</v>
      </c>
      <c r="S37" s="5">
        <v>12835.0</v>
      </c>
      <c r="T37" s="5">
        <v>16537.0</v>
      </c>
      <c r="U37" s="5">
        <v>642729.0</v>
      </c>
      <c r="V37" s="5">
        <v>56867.0</v>
      </c>
      <c r="W37" s="5">
        <v>64474.0</v>
      </c>
      <c r="X37" s="5">
        <v>65119.0</v>
      </c>
      <c r="Y37" s="5">
        <v>61193.0</v>
      </c>
      <c r="Z37" s="5">
        <v>59212.0</v>
      </c>
      <c r="AA37" s="5">
        <v>53332.0</v>
      </c>
      <c r="AB37" s="5">
        <v>47275.0</v>
      </c>
      <c r="AC37" s="5">
        <v>42794.0</v>
      </c>
      <c r="AD37" s="5">
        <v>39913.0</v>
      </c>
      <c r="AE37" s="5">
        <v>35455.0</v>
      </c>
      <c r="AF37" s="5">
        <v>31185.0</v>
      </c>
      <c r="AG37" s="5">
        <v>27876.0</v>
      </c>
      <c r="AH37" s="5">
        <v>22718.0</v>
      </c>
      <c r="AI37" s="5">
        <v>15877.0</v>
      </c>
      <c r="AJ37" s="5">
        <v>8955.0</v>
      </c>
      <c r="AK37" s="5">
        <v>4957.0</v>
      </c>
      <c r="AL37" s="5">
        <v>5527.0</v>
      </c>
      <c r="AM37" s="5">
        <v>625874.0</v>
      </c>
      <c r="AN37" s="5">
        <v>52913.0</v>
      </c>
      <c r="AO37" s="5">
        <v>59291.0</v>
      </c>
      <c r="AP37" s="5">
        <v>60982.0</v>
      </c>
      <c r="AQ37" s="5">
        <v>57628.0</v>
      </c>
      <c r="AR37" s="5">
        <v>56051.0</v>
      </c>
      <c r="AS37" s="5">
        <v>51003.0</v>
      </c>
      <c r="AT37" s="5">
        <v>44823.0</v>
      </c>
      <c r="AU37" s="5">
        <v>40585.0</v>
      </c>
      <c r="AV37" s="5">
        <v>37726.0</v>
      </c>
      <c r="AW37" s="5">
        <v>33056.0</v>
      </c>
      <c r="AX37" s="5">
        <v>30220.0</v>
      </c>
      <c r="AY37" s="5">
        <v>27774.0</v>
      </c>
      <c r="AZ37" s="5">
        <v>24458.0</v>
      </c>
      <c r="BA37" s="5">
        <v>18294.0</v>
      </c>
      <c r="BB37" s="5">
        <v>12182.0</v>
      </c>
      <c r="BC37" s="5">
        <v>7878.0</v>
      </c>
      <c r="BD37" s="5">
        <v>11010.0</v>
      </c>
      <c r="BE37" s="4"/>
      <c r="BF37" s="4"/>
      <c r="BG37" s="4"/>
      <c r="BH37" s="4"/>
      <c r="BI37" s="4"/>
      <c r="BJ37" s="4"/>
    </row>
    <row r="38">
      <c r="A38" s="5"/>
      <c r="B38" s="5" t="s">
        <v>129</v>
      </c>
      <c r="C38" s="5">
        <v>1697050.0</v>
      </c>
      <c r="D38" s="5">
        <v>154636.0</v>
      </c>
      <c r="E38" s="5">
        <v>164977.0</v>
      </c>
      <c r="F38" s="5">
        <v>168999.0</v>
      </c>
      <c r="G38" s="5">
        <v>158444.0</v>
      </c>
      <c r="H38" s="5">
        <v>151404.0</v>
      </c>
      <c r="I38" s="5">
        <v>141897.0</v>
      </c>
      <c r="J38" s="5">
        <v>127663.0</v>
      </c>
      <c r="K38" s="5">
        <v>112769.0</v>
      </c>
      <c r="L38" s="5">
        <v>107524.0</v>
      </c>
      <c r="M38" s="5">
        <v>93337.0</v>
      </c>
      <c r="N38" s="5">
        <v>84014.0</v>
      </c>
      <c r="O38" s="5">
        <v>72891.0</v>
      </c>
      <c r="P38" s="5">
        <v>59109.0</v>
      </c>
      <c r="Q38" s="5">
        <v>41641.0</v>
      </c>
      <c r="R38" s="5">
        <v>26317.0</v>
      </c>
      <c r="S38" s="5">
        <v>15034.0</v>
      </c>
      <c r="T38" s="5">
        <v>16394.0</v>
      </c>
      <c r="U38" s="5">
        <v>864760.0</v>
      </c>
      <c r="V38" s="5">
        <v>79427.0</v>
      </c>
      <c r="W38" s="5">
        <v>85707.0</v>
      </c>
      <c r="X38" s="5">
        <v>87166.0</v>
      </c>
      <c r="Y38" s="5">
        <v>81713.0</v>
      </c>
      <c r="Z38" s="5">
        <v>77618.0</v>
      </c>
      <c r="AA38" s="5">
        <v>72704.0</v>
      </c>
      <c r="AB38" s="5">
        <v>66038.0</v>
      </c>
      <c r="AC38" s="5">
        <v>58263.0</v>
      </c>
      <c r="AD38" s="5">
        <v>55784.0</v>
      </c>
      <c r="AE38" s="5">
        <v>48436.0</v>
      </c>
      <c r="AF38" s="5">
        <v>42949.0</v>
      </c>
      <c r="AG38" s="5">
        <v>36998.0</v>
      </c>
      <c r="AH38" s="5">
        <v>29453.0</v>
      </c>
      <c r="AI38" s="5">
        <v>19565.0</v>
      </c>
      <c r="AJ38" s="5">
        <v>11518.0</v>
      </c>
      <c r="AK38" s="5">
        <v>5862.0</v>
      </c>
      <c r="AL38" s="5">
        <v>5559.0</v>
      </c>
      <c r="AM38" s="5">
        <v>832290.0</v>
      </c>
      <c r="AN38" s="5">
        <v>75209.0</v>
      </c>
      <c r="AO38" s="5">
        <v>79270.0</v>
      </c>
      <c r="AP38" s="5">
        <v>81833.0</v>
      </c>
      <c r="AQ38" s="5">
        <v>76731.0</v>
      </c>
      <c r="AR38" s="5">
        <v>73786.0</v>
      </c>
      <c r="AS38" s="5">
        <v>69193.0</v>
      </c>
      <c r="AT38" s="5">
        <v>61625.0</v>
      </c>
      <c r="AU38" s="5">
        <v>54506.0</v>
      </c>
      <c r="AV38" s="5">
        <v>51740.0</v>
      </c>
      <c r="AW38" s="5">
        <v>44901.0</v>
      </c>
      <c r="AX38" s="5">
        <v>41065.0</v>
      </c>
      <c r="AY38" s="5">
        <v>35893.0</v>
      </c>
      <c r="AZ38" s="5">
        <v>29656.0</v>
      </c>
      <c r="BA38" s="5">
        <v>22076.0</v>
      </c>
      <c r="BB38" s="5">
        <v>14799.0</v>
      </c>
      <c r="BC38" s="5">
        <v>9172.0</v>
      </c>
      <c r="BD38" s="5">
        <v>10835.0</v>
      </c>
      <c r="BE38" s="4"/>
      <c r="BF38" s="4"/>
      <c r="BG38" s="4"/>
      <c r="BH38" s="4"/>
      <c r="BI38" s="4"/>
      <c r="BJ38" s="4"/>
    </row>
    <row r="39">
      <c r="A39" s="5"/>
      <c r="B39" s="5" t="s">
        <v>130</v>
      </c>
      <c r="C39" s="5">
        <v>497432.0</v>
      </c>
      <c r="D39" s="5">
        <v>46072.0</v>
      </c>
      <c r="E39" s="5">
        <v>50149.0</v>
      </c>
      <c r="F39" s="5">
        <v>48788.0</v>
      </c>
      <c r="G39" s="5">
        <v>47369.0</v>
      </c>
      <c r="H39" s="5">
        <v>44272.0</v>
      </c>
      <c r="I39" s="5">
        <v>40795.0</v>
      </c>
      <c r="J39" s="5">
        <v>37142.0</v>
      </c>
      <c r="K39" s="5">
        <v>33655.0</v>
      </c>
      <c r="L39" s="5">
        <v>30446.0</v>
      </c>
      <c r="M39" s="5">
        <v>26059.0</v>
      </c>
      <c r="N39" s="5">
        <v>23859.0</v>
      </c>
      <c r="O39" s="5">
        <v>20957.0</v>
      </c>
      <c r="P39" s="5">
        <v>17479.0</v>
      </c>
      <c r="Q39" s="5">
        <v>12611.0</v>
      </c>
      <c r="R39" s="5">
        <v>8023.0</v>
      </c>
      <c r="S39" s="5">
        <v>4272.0</v>
      </c>
      <c r="T39" s="5">
        <v>5484.0</v>
      </c>
      <c r="U39" s="5">
        <v>256232.0</v>
      </c>
      <c r="V39" s="5">
        <v>23838.0</v>
      </c>
      <c r="W39" s="5">
        <v>26103.0</v>
      </c>
      <c r="X39" s="5">
        <v>25020.0</v>
      </c>
      <c r="Y39" s="5">
        <v>24248.0</v>
      </c>
      <c r="Z39" s="5">
        <v>23098.0</v>
      </c>
      <c r="AA39" s="5">
        <v>21279.0</v>
      </c>
      <c r="AB39" s="5">
        <v>19622.0</v>
      </c>
      <c r="AC39" s="5">
        <v>18025.0</v>
      </c>
      <c r="AD39" s="5">
        <v>16184.0</v>
      </c>
      <c r="AE39" s="5">
        <v>13703.0</v>
      </c>
      <c r="AF39" s="5">
        <v>12501.0</v>
      </c>
      <c r="AG39" s="5">
        <v>10718.0</v>
      </c>
      <c r="AH39" s="5">
        <v>8746.0</v>
      </c>
      <c r="AI39" s="5">
        <v>6005.0</v>
      </c>
      <c r="AJ39" s="5">
        <v>3573.0</v>
      </c>
      <c r="AK39" s="5">
        <v>1735.0</v>
      </c>
      <c r="AL39" s="5">
        <v>1834.0</v>
      </c>
      <c r="AM39" s="5">
        <v>241200.0</v>
      </c>
      <c r="AN39" s="5">
        <v>22234.0</v>
      </c>
      <c r="AO39" s="5">
        <v>24046.0</v>
      </c>
      <c r="AP39" s="5">
        <v>23768.0</v>
      </c>
      <c r="AQ39" s="5">
        <v>23121.0</v>
      </c>
      <c r="AR39" s="5">
        <v>21174.0</v>
      </c>
      <c r="AS39" s="5">
        <v>19516.0</v>
      </c>
      <c r="AT39" s="5">
        <v>17520.0</v>
      </c>
      <c r="AU39" s="5">
        <v>15630.0</v>
      </c>
      <c r="AV39" s="5">
        <v>14262.0</v>
      </c>
      <c r="AW39" s="5">
        <v>12356.0</v>
      </c>
      <c r="AX39" s="5">
        <v>11358.0</v>
      </c>
      <c r="AY39" s="5">
        <v>10239.0</v>
      </c>
      <c r="AZ39" s="5">
        <v>8733.0</v>
      </c>
      <c r="BA39" s="5">
        <v>6606.0</v>
      </c>
      <c r="BB39" s="5">
        <v>4450.0</v>
      </c>
      <c r="BC39" s="5">
        <v>2537.0</v>
      </c>
      <c r="BD39" s="5">
        <v>3650.0</v>
      </c>
      <c r="BE39" s="4"/>
      <c r="BF39" s="4"/>
      <c r="BG39" s="4"/>
      <c r="BH39" s="4"/>
      <c r="BI39" s="4"/>
      <c r="BJ39" s="4"/>
    </row>
    <row r="40">
      <c r="A40" s="5"/>
      <c r="B40" s="5" t="s">
        <v>131</v>
      </c>
      <c r="C40" s="5">
        <v>203828.0</v>
      </c>
      <c r="D40" s="5">
        <v>18855.0</v>
      </c>
      <c r="E40" s="5">
        <v>20609.0</v>
      </c>
      <c r="F40" s="5">
        <v>21204.0</v>
      </c>
      <c r="G40" s="5">
        <v>19772.0</v>
      </c>
      <c r="H40" s="5">
        <v>18143.0</v>
      </c>
      <c r="I40" s="5">
        <v>16835.0</v>
      </c>
      <c r="J40" s="5">
        <v>15062.0</v>
      </c>
      <c r="K40" s="5">
        <v>13832.0</v>
      </c>
      <c r="L40" s="5">
        <v>12732.0</v>
      </c>
      <c r="M40" s="5">
        <v>11033.0</v>
      </c>
      <c r="N40" s="5">
        <v>9488.0</v>
      </c>
      <c r="O40" s="5">
        <v>8217.0</v>
      </c>
      <c r="P40" s="5">
        <v>6781.0</v>
      </c>
      <c r="Q40" s="5">
        <v>4757.0</v>
      </c>
      <c r="R40" s="5">
        <v>2917.0</v>
      </c>
      <c r="S40" s="5">
        <v>1684.0</v>
      </c>
      <c r="T40" s="5">
        <v>1907.0</v>
      </c>
      <c r="U40" s="5">
        <v>105628.0</v>
      </c>
      <c r="V40" s="5">
        <v>9661.0</v>
      </c>
      <c r="W40" s="5">
        <v>10716.0</v>
      </c>
      <c r="X40" s="5">
        <v>10924.0</v>
      </c>
      <c r="Y40" s="5">
        <v>10264.0</v>
      </c>
      <c r="Z40" s="5">
        <v>9414.0</v>
      </c>
      <c r="AA40" s="5">
        <v>8885.0</v>
      </c>
      <c r="AB40" s="5">
        <v>7937.0</v>
      </c>
      <c r="AC40" s="5">
        <v>7349.0</v>
      </c>
      <c r="AD40" s="5">
        <v>6734.0</v>
      </c>
      <c r="AE40" s="5">
        <v>5852.0</v>
      </c>
      <c r="AF40" s="5">
        <v>5078.0</v>
      </c>
      <c r="AG40" s="5">
        <v>4215.0</v>
      </c>
      <c r="AH40" s="5">
        <v>3463.0</v>
      </c>
      <c r="AI40" s="5">
        <v>2390.0</v>
      </c>
      <c r="AJ40" s="5">
        <v>1347.0</v>
      </c>
      <c r="AK40" s="5">
        <v>721.0</v>
      </c>
      <c r="AL40" s="5">
        <v>678.0</v>
      </c>
      <c r="AM40" s="5">
        <v>98200.0</v>
      </c>
      <c r="AN40" s="5">
        <v>9194.0</v>
      </c>
      <c r="AO40" s="5">
        <v>9893.0</v>
      </c>
      <c r="AP40" s="5">
        <v>10280.0</v>
      </c>
      <c r="AQ40" s="5">
        <v>9508.0</v>
      </c>
      <c r="AR40" s="5">
        <v>8729.0</v>
      </c>
      <c r="AS40" s="5">
        <v>7950.0</v>
      </c>
      <c r="AT40" s="5">
        <v>7125.0</v>
      </c>
      <c r="AU40" s="5">
        <v>6483.0</v>
      </c>
      <c r="AV40" s="5">
        <v>5998.0</v>
      </c>
      <c r="AW40" s="5">
        <v>5181.0</v>
      </c>
      <c r="AX40" s="5">
        <v>4410.0</v>
      </c>
      <c r="AY40" s="5">
        <v>4002.0</v>
      </c>
      <c r="AZ40" s="5">
        <v>3318.0</v>
      </c>
      <c r="BA40" s="5">
        <v>2367.0</v>
      </c>
      <c r="BB40" s="5">
        <v>1570.0</v>
      </c>
      <c r="BC40" s="5">
        <v>963.0</v>
      </c>
      <c r="BD40" s="5">
        <v>1229.0</v>
      </c>
      <c r="BE40" s="4"/>
      <c r="BF40" s="4"/>
      <c r="BG40" s="4"/>
      <c r="BH40" s="4"/>
      <c r="BI40" s="4"/>
      <c r="BJ40" s="4"/>
    </row>
    <row r="41">
      <c r="A41" s="5"/>
      <c r="B41" s="5" t="s">
        <v>132</v>
      </c>
      <c r="C41" s="5">
        <v>1.2422172E7</v>
      </c>
      <c r="D41" s="5">
        <v>1189025.0</v>
      </c>
      <c r="E41" s="5">
        <v>1212391.0</v>
      </c>
      <c r="F41" s="5">
        <v>1218816.0</v>
      </c>
      <c r="G41" s="5">
        <v>1154597.0</v>
      </c>
      <c r="H41" s="5">
        <v>1156224.0</v>
      </c>
      <c r="I41" s="5">
        <v>1057220.0</v>
      </c>
      <c r="J41" s="5">
        <v>935195.0</v>
      </c>
      <c r="K41" s="5">
        <v>845574.0</v>
      </c>
      <c r="L41" s="5">
        <v>781071.0</v>
      </c>
      <c r="M41" s="5">
        <v>667906.0</v>
      </c>
      <c r="N41" s="5">
        <v>610831.0</v>
      </c>
      <c r="O41" s="5">
        <v>497681.0</v>
      </c>
      <c r="P41" s="5">
        <v>403317.0</v>
      </c>
      <c r="Q41" s="5">
        <v>282716.0</v>
      </c>
      <c r="R41" s="5">
        <v>193782.0</v>
      </c>
      <c r="S41" s="5">
        <v>106346.0</v>
      </c>
      <c r="T41" s="5">
        <v>109480.0</v>
      </c>
      <c r="U41" s="5">
        <v>6300189.0</v>
      </c>
      <c r="V41" s="5">
        <v>615231.0</v>
      </c>
      <c r="W41" s="5">
        <v>631437.0</v>
      </c>
      <c r="X41" s="5">
        <v>631564.0</v>
      </c>
      <c r="Y41" s="5">
        <v>593876.0</v>
      </c>
      <c r="Z41" s="5">
        <v>593274.0</v>
      </c>
      <c r="AA41" s="5">
        <v>541255.0</v>
      </c>
      <c r="AB41" s="5">
        <v>478107.0</v>
      </c>
      <c r="AC41" s="5">
        <v>429002.0</v>
      </c>
      <c r="AD41" s="5">
        <v>398314.0</v>
      </c>
      <c r="AE41" s="5">
        <v>340960.0</v>
      </c>
      <c r="AF41" s="5">
        <v>308902.0</v>
      </c>
      <c r="AG41" s="5">
        <v>248821.0</v>
      </c>
      <c r="AH41" s="5">
        <v>196377.0</v>
      </c>
      <c r="AI41" s="5">
        <v>131733.0</v>
      </c>
      <c r="AJ41" s="5">
        <v>84281.0</v>
      </c>
      <c r="AK41" s="5">
        <v>41742.0</v>
      </c>
      <c r="AL41" s="5">
        <v>35313.0</v>
      </c>
      <c r="AM41" s="5">
        <v>6121983.0</v>
      </c>
      <c r="AN41" s="5">
        <v>573794.0</v>
      </c>
      <c r="AO41" s="5">
        <v>580954.0</v>
      </c>
      <c r="AP41" s="5">
        <v>587252.0</v>
      </c>
      <c r="AQ41" s="5">
        <v>560721.0</v>
      </c>
      <c r="AR41" s="5">
        <v>562950.0</v>
      </c>
      <c r="AS41" s="5">
        <v>515965.0</v>
      </c>
      <c r="AT41" s="5">
        <v>457088.0</v>
      </c>
      <c r="AU41" s="5">
        <v>416572.0</v>
      </c>
      <c r="AV41" s="5">
        <v>382757.0</v>
      </c>
      <c r="AW41" s="5">
        <v>326946.0</v>
      </c>
      <c r="AX41" s="5">
        <v>301929.0</v>
      </c>
      <c r="AY41" s="5">
        <v>248860.0</v>
      </c>
      <c r="AZ41" s="5">
        <v>206940.0</v>
      </c>
      <c r="BA41" s="5">
        <v>150983.0</v>
      </c>
      <c r="BB41" s="5">
        <v>109501.0</v>
      </c>
      <c r="BC41" s="5">
        <v>64604.0</v>
      </c>
      <c r="BD41" s="5">
        <v>74167.0</v>
      </c>
      <c r="BE41" s="4"/>
      <c r="BF41" s="4"/>
      <c r="BG41" s="4"/>
      <c r="BH41" s="4"/>
      <c r="BI41" s="4"/>
      <c r="BJ41" s="4"/>
    </row>
    <row r="42">
      <c r="A42" s="5"/>
      <c r="B42" s="5" t="s">
        <v>133</v>
      </c>
      <c r="C42" s="5">
        <v>235750.0</v>
      </c>
      <c r="D42" s="5">
        <v>23603.0</v>
      </c>
      <c r="E42" s="5">
        <v>25017.0</v>
      </c>
      <c r="F42" s="5">
        <v>25460.0</v>
      </c>
      <c r="G42" s="5">
        <v>23824.0</v>
      </c>
      <c r="H42" s="5">
        <v>21306.0</v>
      </c>
      <c r="I42" s="5">
        <v>18735.0</v>
      </c>
      <c r="J42" s="5">
        <v>16864.0</v>
      </c>
      <c r="K42" s="5">
        <v>14518.0</v>
      </c>
      <c r="L42" s="5">
        <v>13335.0</v>
      </c>
      <c r="M42" s="5">
        <v>12468.0</v>
      </c>
      <c r="N42" s="5">
        <v>11054.0</v>
      </c>
      <c r="O42" s="5">
        <v>9246.0</v>
      </c>
      <c r="P42" s="5">
        <v>7521.0</v>
      </c>
      <c r="Q42" s="5">
        <v>5308.0</v>
      </c>
      <c r="R42" s="5">
        <v>3448.0</v>
      </c>
      <c r="S42" s="5">
        <v>2043.0</v>
      </c>
      <c r="T42" s="5">
        <v>2000.0</v>
      </c>
      <c r="U42" s="5">
        <v>120954.0</v>
      </c>
      <c r="V42" s="5">
        <v>12135.0</v>
      </c>
      <c r="W42" s="5">
        <v>13004.0</v>
      </c>
      <c r="X42" s="5">
        <v>13200.0</v>
      </c>
      <c r="Y42" s="5">
        <v>12185.0</v>
      </c>
      <c r="Z42" s="5">
        <v>10981.0</v>
      </c>
      <c r="AA42" s="5">
        <v>9645.0</v>
      </c>
      <c r="AB42" s="5">
        <v>8788.0</v>
      </c>
      <c r="AC42" s="5">
        <v>7574.0</v>
      </c>
      <c r="AD42" s="5">
        <v>6909.0</v>
      </c>
      <c r="AE42" s="5">
        <v>6460.0</v>
      </c>
      <c r="AF42" s="5">
        <v>5779.0</v>
      </c>
      <c r="AG42" s="5">
        <v>4906.0</v>
      </c>
      <c r="AH42" s="5">
        <v>3758.0</v>
      </c>
      <c r="AI42" s="5">
        <v>2575.0</v>
      </c>
      <c r="AJ42" s="5">
        <v>1546.0</v>
      </c>
      <c r="AK42" s="5">
        <v>833.0</v>
      </c>
      <c r="AL42" s="5">
        <v>676.0</v>
      </c>
      <c r="AM42" s="5">
        <v>114796.0</v>
      </c>
      <c r="AN42" s="5">
        <v>11468.0</v>
      </c>
      <c r="AO42" s="5">
        <v>12013.0</v>
      </c>
      <c r="AP42" s="5">
        <v>12260.0</v>
      </c>
      <c r="AQ42" s="5">
        <v>11639.0</v>
      </c>
      <c r="AR42" s="5">
        <v>10325.0</v>
      </c>
      <c r="AS42" s="5">
        <v>9090.0</v>
      </c>
      <c r="AT42" s="5">
        <v>8076.0</v>
      </c>
      <c r="AU42" s="5">
        <v>6944.0</v>
      </c>
      <c r="AV42" s="5">
        <v>6426.0</v>
      </c>
      <c r="AW42" s="5">
        <v>6008.0</v>
      </c>
      <c r="AX42" s="5">
        <v>5275.0</v>
      </c>
      <c r="AY42" s="5">
        <v>4340.0</v>
      </c>
      <c r="AZ42" s="5">
        <v>3763.0</v>
      </c>
      <c r="BA42" s="5">
        <v>2733.0</v>
      </c>
      <c r="BB42" s="5">
        <v>1902.0</v>
      </c>
      <c r="BC42" s="5">
        <v>1210.0</v>
      </c>
      <c r="BD42" s="5">
        <v>1324.0</v>
      </c>
      <c r="BE42" s="4"/>
      <c r="BF42" s="4"/>
      <c r="BG42" s="4"/>
      <c r="BH42" s="4"/>
      <c r="BI42" s="4"/>
      <c r="BJ42" s="4"/>
    </row>
    <row r="43">
      <c r="A43" s="5"/>
      <c r="B43" s="5" t="s">
        <v>134</v>
      </c>
      <c r="C43" s="5">
        <v>853373.0</v>
      </c>
      <c r="D43" s="5">
        <v>85731.0</v>
      </c>
      <c r="E43" s="5">
        <v>85490.0</v>
      </c>
      <c r="F43" s="5">
        <v>84430.0</v>
      </c>
      <c r="G43" s="5">
        <v>78062.0</v>
      </c>
      <c r="H43" s="5">
        <v>79441.0</v>
      </c>
      <c r="I43" s="5">
        <v>71540.0</v>
      </c>
      <c r="J43" s="5">
        <v>64309.0</v>
      </c>
      <c r="K43" s="5">
        <v>59064.0</v>
      </c>
      <c r="L43" s="5">
        <v>53252.0</v>
      </c>
      <c r="M43" s="5">
        <v>43943.0</v>
      </c>
      <c r="N43" s="5">
        <v>40345.0</v>
      </c>
      <c r="O43" s="5">
        <v>33930.0</v>
      </c>
      <c r="P43" s="5">
        <v>28666.0</v>
      </c>
      <c r="Q43" s="5">
        <v>20103.0</v>
      </c>
      <c r="R43" s="5">
        <v>12960.0</v>
      </c>
      <c r="S43" s="5">
        <v>5899.0</v>
      </c>
      <c r="T43" s="5">
        <v>6208.0</v>
      </c>
      <c r="U43" s="5">
        <v>431839.0</v>
      </c>
      <c r="V43" s="5">
        <v>44160.0</v>
      </c>
      <c r="W43" s="5">
        <v>44333.0</v>
      </c>
      <c r="X43" s="5">
        <v>43729.0</v>
      </c>
      <c r="Y43" s="5">
        <v>40251.0</v>
      </c>
      <c r="Z43" s="5">
        <v>41237.0</v>
      </c>
      <c r="AA43" s="5">
        <v>36536.0</v>
      </c>
      <c r="AB43" s="5">
        <v>32915.0</v>
      </c>
      <c r="AC43" s="5">
        <v>29811.0</v>
      </c>
      <c r="AD43" s="5">
        <v>26858.0</v>
      </c>
      <c r="AE43" s="5">
        <v>22268.0</v>
      </c>
      <c r="AF43" s="5">
        <v>20011.0</v>
      </c>
      <c r="AG43" s="5">
        <v>16641.0</v>
      </c>
      <c r="AH43" s="5">
        <v>13728.0</v>
      </c>
      <c r="AI43" s="5">
        <v>9212.0</v>
      </c>
      <c r="AJ43" s="5">
        <v>5792.0</v>
      </c>
      <c r="AK43" s="5">
        <v>2347.0</v>
      </c>
      <c r="AL43" s="5">
        <v>2010.0</v>
      </c>
      <c r="AM43" s="5">
        <v>421534.0</v>
      </c>
      <c r="AN43" s="5">
        <v>41571.0</v>
      </c>
      <c r="AO43" s="5">
        <v>41157.0</v>
      </c>
      <c r="AP43" s="5">
        <v>40701.0</v>
      </c>
      <c r="AQ43" s="5">
        <v>37811.0</v>
      </c>
      <c r="AR43" s="5">
        <v>38204.0</v>
      </c>
      <c r="AS43" s="5">
        <v>35004.0</v>
      </c>
      <c r="AT43" s="5">
        <v>31394.0</v>
      </c>
      <c r="AU43" s="5">
        <v>29253.0</v>
      </c>
      <c r="AV43" s="5">
        <v>26394.0</v>
      </c>
      <c r="AW43" s="5">
        <v>21675.0</v>
      </c>
      <c r="AX43" s="5">
        <v>20334.0</v>
      </c>
      <c r="AY43" s="5">
        <v>17289.0</v>
      </c>
      <c r="AZ43" s="5">
        <v>14938.0</v>
      </c>
      <c r="BA43" s="5">
        <v>10891.0</v>
      </c>
      <c r="BB43" s="5">
        <v>7168.0</v>
      </c>
      <c r="BC43" s="5">
        <v>3552.0</v>
      </c>
      <c r="BD43" s="5">
        <v>4198.0</v>
      </c>
      <c r="BE43" s="4"/>
      <c r="BF43" s="4"/>
      <c r="BG43" s="4"/>
      <c r="BH43" s="4"/>
      <c r="BI43" s="4"/>
      <c r="BJ43" s="4"/>
    </row>
    <row r="44">
      <c r="A44" s="5"/>
      <c r="B44" s="5" t="s">
        <v>135</v>
      </c>
      <c r="C44" s="5">
        <v>3708890.0</v>
      </c>
      <c r="D44" s="5">
        <v>346709.0</v>
      </c>
      <c r="E44" s="5">
        <v>358816.0</v>
      </c>
      <c r="F44" s="5">
        <v>362184.0</v>
      </c>
      <c r="G44" s="5">
        <v>341838.0</v>
      </c>
      <c r="H44" s="5">
        <v>349780.0</v>
      </c>
      <c r="I44" s="5">
        <v>321451.0</v>
      </c>
      <c r="J44" s="5">
        <v>282765.0</v>
      </c>
      <c r="K44" s="5">
        <v>259439.0</v>
      </c>
      <c r="L44" s="5">
        <v>241921.0</v>
      </c>
      <c r="M44" s="5">
        <v>202102.0</v>
      </c>
      <c r="N44" s="5">
        <v>183863.0</v>
      </c>
      <c r="O44" s="5">
        <v>147289.0</v>
      </c>
      <c r="P44" s="5">
        <v>117869.0</v>
      </c>
      <c r="Q44" s="5">
        <v>81532.0</v>
      </c>
      <c r="R44" s="5">
        <v>53806.0</v>
      </c>
      <c r="S44" s="5">
        <v>28727.0</v>
      </c>
      <c r="T44" s="5">
        <v>28799.0</v>
      </c>
      <c r="U44" s="5">
        <v>1877619.0</v>
      </c>
      <c r="V44" s="5">
        <v>180284.0</v>
      </c>
      <c r="W44" s="5">
        <v>187566.0</v>
      </c>
      <c r="X44" s="5">
        <v>187391.0</v>
      </c>
      <c r="Y44" s="5">
        <v>175308.0</v>
      </c>
      <c r="Z44" s="5">
        <v>179055.0</v>
      </c>
      <c r="AA44" s="5">
        <v>165139.0</v>
      </c>
      <c r="AB44" s="5">
        <v>144572.0</v>
      </c>
      <c r="AC44" s="5">
        <v>131312.0</v>
      </c>
      <c r="AD44" s="5">
        <v>122892.0</v>
      </c>
      <c r="AE44" s="5">
        <v>102202.0</v>
      </c>
      <c r="AF44" s="5">
        <v>92845.0</v>
      </c>
      <c r="AG44" s="5">
        <v>72570.0</v>
      </c>
      <c r="AH44" s="5">
        <v>56319.0</v>
      </c>
      <c r="AI44" s="5">
        <v>37389.0</v>
      </c>
      <c r="AJ44" s="5">
        <v>22689.0</v>
      </c>
      <c r="AK44" s="5">
        <v>10984.0</v>
      </c>
      <c r="AL44" s="5">
        <v>9102.0</v>
      </c>
      <c r="AM44" s="5">
        <v>1831271.0</v>
      </c>
      <c r="AN44" s="5">
        <v>166425.0</v>
      </c>
      <c r="AO44" s="5">
        <v>171250.0</v>
      </c>
      <c r="AP44" s="5">
        <v>174793.0</v>
      </c>
      <c r="AQ44" s="5">
        <v>166530.0</v>
      </c>
      <c r="AR44" s="5">
        <v>170725.0</v>
      </c>
      <c r="AS44" s="5">
        <v>156312.0</v>
      </c>
      <c r="AT44" s="5">
        <v>138193.0</v>
      </c>
      <c r="AU44" s="5">
        <v>128127.0</v>
      </c>
      <c r="AV44" s="5">
        <v>119029.0</v>
      </c>
      <c r="AW44" s="5">
        <v>99900.0</v>
      </c>
      <c r="AX44" s="5">
        <v>91018.0</v>
      </c>
      <c r="AY44" s="5">
        <v>74719.0</v>
      </c>
      <c r="AZ44" s="5">
        <v>61550.0</v>
      </c>
      <c r="BA44" s="5">
        <v>44143.0</v>
      </c>
      <c r="BB44" s="5">
        <v>31117.0</v>
      </c>
      <c r="BC44" s="5">
        <v>17743.0</v>
      </c>
      <c r="BD44" s="5">
        <v>19697.0</v>
      </c>
      <c r="BE44" s="4"/>
      <c r="BF44" s="4"/>
      <c r="BG44" s="4"/>
      <c r="BH44" s="4"/>
      <c r="BI44" s="4"/>
      <c r="BJ44" s="4"/>
    </row>
    <row r="45">
      <c r="A45" s="5"/>
      <c r="B45" s="5" t="s">
        <v>136</v>
      </c>
      <c r="C45" s="5">
        <v>2310134.0</v>
      </c>
      <c r="D45" s="5">
        <v>222532.0</v>
      </c>
      <c r="E45" s="5">
        <v>227600.0</v>
      </c>
      <c r="F45" s="5">
        <v>228610.0</v>
      </c>
      <c r="G45" s="5">
        <v>212488.0</v>
      </c>
      <c r="H45" s="5">
        <v>205314.0</v>
      </c>
      <c r="I45" s="5">
        <v>191693.0</v>
      </c>
      <c r="J45" s="5">
        <v>168163.0</v>
      </c>
      <c r="K45" s="5">
        <v>154122.0</v>
      </c>
      <c r="L45" s="5">
        <v>143591.0</v>
      </c>
      <c r="M45" s="5">
        <v>125934.0</v>
      </c>
      <c r="N45" s="5">
        <v>116691.0</v>
      </c>
      <c r="O45" s="5">
        <v>96943.0</v>
      </c>
      <c r="P45" s="5">
        <v>78413.0</v>
      </c>
      <c r="Q45" s="5">
        <v>54963.0</v>
      </c>
      <c r="R45" s="5">
        <v>36939.0</v>
      </c>
      <c r="S45" s="5">
        <v>22754.0</v>
      </c>
      <c r="T45" s="5">
        <v>23384.0</v>
      </c>
      <c r="U45" s="5">
        <v>1171914.0</v>
      </c>
      <c r="V45" s="5">
        <v>114951.0</v>
      </c>
      <c r="W45" s="5">
        <v>118672.0</v>
      </c>
      <c r="X45" s="5">
        <v>118713.0</v>
      </c>
      <c r="Y45" s="5">
        <v>109211.0</v>
      </c>
      <c r="Z45" s="5">
        <v>105367.0</v>
      </c>
      <c r="AA45" s="5">
        <v>98164.0</v>
      </c>
      <c r="AB45" s="5">
        <v>86030.0</v>
      </c>
      <c r="AC45" s="5">
        <v>78330.0</v>
      </c>
      <c r="AD45" s="5">
        <v>73600.0</v>
      </c>
      <c r="AE45" s="5">
        <v>64371.0</v>
      </c>
      <c r="AF45" s="5">
        <v>59319.0</v>
      </c>
      <c r="AG45" s="5">
        <v>48750.0</v>
      </c>
      <c r="AH45" s="5">
        <v>38468.0</v>
      </c>
      <c r="AI45" s="5">
        <v>25898.0</v>
      </c>
      <c r="AJ45" s="5">
        <v>15875.0</v>
      </c>
      <c r="AK45" s="5">
        <v>8844.0</v>
      </c>
      <c r="AL45" s="5">
        <v>7351.0</v>
      </c>
      <c r="AM45" s="5">
        <v>1138220.0</v>
      </c>
      <c r="AN45" s="5">
        <v>107581.0</v>
      </c>
      <c r="AO45" s="5">
        <v>108928.0</v>
      </c>
      <c r="AP45" s="5">
        <v>109897.0</v>
      </c>
      <c r="AQ45" s="5">
        <v>103277.0</v>
      </c>
      <c r="AR45" s="5">
        <v>99947.0</v>
      </c>
      <c r="AS45" s="5">
        <v>93529.0</v>
      </c>
      <c r="AT45" s="5">
        <v>82133.0</v>
      </c>
      <c r="AU45" s="5">
        <v>75792.0</v>
      </c>
      <c r="AV45" s="5">
        <v>69991.0</v>
      </c>
      <c r="AW45" s="5">
        <v>61563.0</v>
      </c>
      <c r="AX45" s="5">
        <v>57372.0</v>
      </c>
      <c r="AY45" s="5">
        <v>48193.0</v>
      </c>
      <c r="AZ45" s="5">
        <v>39945.0</v>
      </c>
      <c r="BA45" s="5">
        <v>29065.0</v>
      </c>
      <c r="BB45" s="5">
        <v>21064.0</v>
      </c>
      <c r="BC45" s="5">
        <v>13910.0</v>
      </c>
      <c r="BD45" s="5">
        <v>16033.0</v>
      </c>
      <c r="BE45" s="4"/>
      <c r="BF45" s="4"/>
      <c r="BG45" s="4"/>
      <c r="BH45" s="4"/>
      <c r="BI45" s="4"/>
      <c r="BJ45" s="4"/>
    </row>
    <row r="46">
      <c r="A46" s="5"/>
      <c r="B46" s="5" t="s">
        <v>137</v>
      </c>
      <c r="C46" s="5">
        <v>2437709.0</v>
      </c>
      <c r="D46" s="5">
        <v>230666.0</v>
      </c>
      <c r="E46" s="5">
        <v>229819.0</v>
      </c>
      <c r="F46" s="5">
        <v>234564.0</v>
      </c>
      <c r="G46" s="5">
        <v>230651.0</v>
      </c>
      <c r="H46" s="5">
        <v>234572.0</v>
      </c>
      <c r="I46" s="5">
        <v>211150.0</v>
      </c>
      <c r="J46" s="5">
        <v>186139.0</v>
      </c>
      <c r="K46" s="5">
        <v>165980.0</v>
      </c>
      <c r="L46" s="5">
        <v>155012.0</v>
      </c>
      <c r="M46" s="5">
        <v>131315.0</v>
      </c>
      <c r="N46" s="5">
        <v>120216.0</v>
      </c>
      <c r="O46" s="5">
        <v>95442.0</v>
      </c>
      <c r="P46" s="5">
        <v>77100.0</v>
      </c>
      <c r="Q46" s="5">
        <v>54007.0</v>
      </c>
      <c r="R46" s="5">
        <v>38764.0</v>
      </c>
      <c r="S46" s="5">
        <v>20805.0</v>
      </c>
      <c r="T46" s="5">
        <v>21507.0</v>
      </c>
      <c r="U46" s="5">
        <v>1240359.0</v>
      </c>
      <c r="V46" s="5">
        <v>119071.0</v>
      </c>
      <c r="W46" s="5">
        <v>119066.0</v>
      </c>
      <c r="X46" s="5">
        <v>121837.0</v>
      </c>
      <c r="Y46" s="5">
        <v>118776.0</v>
      </c>
      <c r="Z46" s="5">
        <v>120564.0</v>
      </c>
      <c r="AA46" s="5">
        <v>108188.0</v>
      </c>
      <c r="AB46" s="5">
        <v>95295.0</v>
      </c>
      <c r="AC46" s="5">
        <v>84475.0</v>
      </c>
      <c r="AD46" s="5">
        <v>79271.0</v>
      </c>
      <c r="AE46" s="5">
        <v>67460.0</v>
      </c>
      <c r="AF46" s="5">
        <v>61022.0</v>
      </c>
      <c r="AG46" s="5">
        <v>48257.0</v>
      </c>
      <c r="AH46" s="5">
        <v>38126.0</v>
      </c>
      <c r="AI46" s="5">
        <v>25677.0</v>
      </c>
      <c r="AJ46" s="5">
        <v>17406.0</v>
      </c>
      <c r="AK46" s="5">
        <v>8496.0</v>
      </c>
      <c r="AL46" s="5">
        <v>7372.0</v>
      </c>
      <c r="AM46" s="5">
        <v>1197350.0</v>
      </c>
      <c r="AN46" s="5">
        <v>111595.0</v>
      </c>
      <c r="AO46" s="5">
        <v>110753.0</v>
      </c>
      <c r="AP46" s="5">
        <v>112727.0</v>
      </c>
      <c r="AQ46" s="5">
        <v>111875.0</v>
      </c>
      <c r="AR46" s="5">
        <v>114008.0</v>
      </c>
      <c r="AS46" s="5">
        <v>102962.0</v>
      </c>
      <c r="AT46" s="5">
        <v>90844.0</v>
      </c>
      <c r="AU46" s="5">
        <v>81505.0</v>
      </c>
      <c r="AV46" s="5">
        <v>75741.0</v>
      </c>
      <c r="AW46" s="5">
        <v>63855.0</v>
      </c>
      <c r="AX46" s="5">
        <v>59194.0</v>
      </c>
      <c r="AY46" s="5">
        <v>47185.0</v>
      </c>
      <c r="AZ46" s="5">
        <v>38974.0</v>
      </c>
      <c r="BA46" s="5">
        <v>28330.0</v>
      </c>
      <c r="BB46" s="5">
        <v>21358.0</v>
      </c>
      <c r="BC46" s="5">
        <v>12309.0</v>
      </c>
      <c r="BD46" s="5">
        <v>14135.0</v>
      </c>
      <c r="BE46" s="4"/>
      <c r="BF46" s="4"/>
      <c r="BG46" s="4"/>
      <c r="BH46" s="4"/>
      <c r="BI46" s="4"/>
      <c r="BJ46" s="4"/>
    </row>
    <row r="47">
      <c r="A47" s="5"/>
      <c r="B47" s="5" t="s">
        <v>138</v>
      </c>
      <c r="C47" s="5">
        <v>1503456.0</v>
      </c>
      <c r="D47" s="5">
        <v>147425.0</v>
      </c>
      <c r="E47" s="5">
        <v>152170.0</v>
      </c>
      <c r="F47" s="5">
        <v>152410.0</v>
      </c>
      <c r="G47" s="5">
        <v>140022.0</v>
      </c>
      <c r="H47" s="5">
        <v>133356.0</v>
      </c>
      <c r="I47" s="5">
        <v>121889.0</v>
      </c>
      <c r="J47" s="5">
        <v>108689.0</v>
      </c>
      <c r="K47" s="5">
        <v>98495.0</v>
      </c>
      <c r="L47" s="5">
        <v>90979.0</v>
      </c>
      <c r="M47" s="5">
        <v>80927.0</v>
      </c>
      <c r="N47" s="5">
        <v>73553.0</v>
      </c>
      <c r="O47" s="5">
        <v>60803.0</v>
      </c>
      <c r="P47" s="5">
        <v>50037.0</v>
      </c>
      <c r="Q47" s="5">
        <v>35934.0</v>
      </c>
      <c r="R47" s="5">
        <v>26141.0</v>
      </c>
      <c r="S47" s="5">
        <v>14882.0</v>
      </c>
      <c r="T47" s="5">
        <v>15744.0</v>
      </c>
      <c r="U47" s="5">
        <v>766223.0</v>
      </c>
      <c r="V47" s="5">
        <v>76233.0</v>
      </c>
      <c r="W47" s="5">
        <v>79507.0</v>
      </c>
      <c r="X47" s="5">
        <v>79157.0</v>
      </c>
      <c r="Y47" s="5">
        <v>72482.0</v>
      </c>
      <c r="Z47" s="5">
        <v>68983.0</v>
      </c>
      <c r="AA47" s="5">
        <v>62944.0</v>
      </c>
      <c r="AB47" s="5">
        <v>55834.0</v>
      </c>
      <c r="AC47" s="5">
        <v>50394.0</v>
      </c>
      <c r="AD47" s="5">
        <v>46801.0</v>
      </c>
      <c r="AE47" s="5">
        <v>41826.0</v>
      </c>
      <c r="AF47" s="5">
        <v>37306.0</v>
      </c>
      <c r="AG47" s="5">
        <v>30810.0</v>
      </c>
      <c r="AH47" s="5">
        <v>24684.0</v>
      </c>
      <c r="AI47" s="5">
        <v>16816.0</v>
      </c>
      <c r="AJ47" s="5">
        <v>11472.0</v>
      </c>
      <c r="AK47" s="5">
        <v>5873.0</v>
      </c>
      <c r="AL47" s="5">
        <v>5101.0</v>
      </c>
      <c r="AM47" s="5">
        <v>737233.0</v>
      </c>
      <c r="AN47" s="5">
        <v>71192.0</v>
      </c>
      <c r="AO47" s="5">
        <v>72663.0</v>
      </c>
      <c r="AP47" s="5">
        <v>73253.0</v>
      </c>
      <c r="AQ47" s="5">
        <v>67540.0</v>
      </c>
      <c r="AR47" s="5">
        <v>64373.0</v>
      </c>
      <c r="AS47" s="5">
        <v>58945.0</v>
      </c>
      <c r="AT47" s="5">
        <v>52855.0</v>
      </c>
      <c r="AU47" s="5">
        <v>48101.0</v>
      </c>
      <c r="AV47" s="5">
        <v>44178.0</v>
      </c>
      <c r="AW47" s="5">
        <v>39101.0</v>
      </c>
      <c r="AX47" s="5">
        <v>36247.0</v>
      </c>
      <c r="AY47" s="5">
        <v>29993.0</v>
      </c>
      <c r="AZ47" s="5">
        <v>25353.0</v>
      </c>
      <c r="BA47" s="5">
        <v>19118.0</v>
      </c>
      <c r="BB47" s="5">
        <v>14669.0</v>
      </c>
      <c r="BC47" s="5">
        <v>9009.0</v>
      </c>
      <c r="BD47" s="5">
        <v>10643.0</v>
      </c>
      <c r="BE47" s="4"/>
      <c r="BF47" s="4"/>
      <c r="BG47" s="4"/>
      <c r="BH47" s="4"/>
      <c r="BI47" s="4"/>
      <c r="BJ47" s="4"/>
    </row>
    <row r="48">
      <c r="A48" s="5"/>
      <c r="B48" s="5" t="s">
        <v>139</v>
      </c>
      <c r="C48" s="5">
        <v>649615.0</v>
      </c>
      <c r="D48" s="5">
        <v>59914.0</v>
      </c>
      <c r="E48" s="5">
        <v>65386.0</v>
      </c>
      <c r="F48" s="5">
        <v>65448.0</v>
      </c>
      <c r="G48" s="5">
        <v>61625.0</v>
      </c>
      <c r="H48" s="5">
        <v>57522.0</v>
      </c>
      <c r="I48" s="5">
        <v>51151.0</v>
      </c>
      <c r="J48" s="5">
        <v>48256.0</v>
      </c>
      <c r="K48" s="5">
        <v>43272.0</v>
      </c>
      <c r="L48" s="5">
        <v>38423.0</v>
      </c>
      <c r="M48" s="5">
        <v>34200.0</v>
      </c>
      <c r="N48" s="5">
        <v>32500.0</v>
      </c>
      <c r="O48" s="5">
        <v>27597.0</v>
      </c>
      <c r="P48" s="5">
        <v>22860.0</v>
      </c>
      <c r="Q48" s="5">
        <v>16458.0</v>
      </c>
      <c r="R48" s="5">
        <v>11770.0</v>
      </c>
      <c r="S48" s="5">
        <v>6279.0</v>
      </c>
      <c r="T48" s="5">
        <v>6954.0</v>
      </c>
      <c r="U48" s="5">
        <v>329695.0</v>
      </c>
      <c r="V48" s="5">
        <v>31199.0</v>
      </c>
      <c r="W48" s="5">
        <v>34079.0</v>
      </c>
      <c r="X48" s="5">
        <v>33652.0</v>
      </c>
      <c r="Y48" s="5">
        <v>31945.0</v>
      </c>
      <c r="Z48" s="5">
        <v>29618.0</v>
      </c>
      <c r="AA48" s="5">
        <v>26250.0</v>
      </c>
      <c r="AB48" s="5">
        <v>24740.0</v>
      </c>
      <c r="AC48" s="5">
        <v>21940.0</v>
      </c>
      <c r="AD48" s="5">
        <v>19615.0</v>
      </c>
      <c r="AE48" s="5">
        <v>17584.0</v>
      </c>
      <c r="AF48" s="5">
        <v>16493.0</v>
      </c>
      <c r="AG48" s="5">
        <v>13908.0</v>
      </c>
      <c r="AH48" s="5">
        <v>11265.0</v>
      </c>
      <c r="AI48" s="5">
        <v>7662.0</v>
      </c>
      <c r="AJ48" s="5">
        <v>5189.0</v>
      </c>
      <c r="AK48" s="5">
        <v>2420.0</v>
      </c>
      <c r="AL48" s="5">
        <v>2136.0</v>
      </c>
      <c r="AM48" s="5">
        <v>319920.0</v>
      </c>
      <c r="AN48" s="5">
        <v>28715.0</v>
      </c>
      <c r="AO48" s="5">
        <v>31307.0</v>
      </c>
      <c r="AP48" s="5">
        <v>31796.0</v>
      </c>
      <c r="AQ48" s="5">
        <v>29680.0</v>
      </c>
      <c r="AR48" s="5">
        <v>27904.0</v>
      </c>
      <c r="AS48" s="5">
        <v>24901.0</v>
      </c>
      <c r="AT48" s="5">
        <v>23516.0</v>
      </c>
      <c r="AU48" s="5">
        <v>21332.0</v>
      </c>
      <c r="AV48" s="5">
        <v>18808.0</v>
      </c>
      <c r="AW48" s="5">
        <v>16616.0</v>
      </c>
      <c r="AX48" s="5">
        <v>16007.0</v>
      </c>
      <c r="AY48" s="5">
        <v>13689.0</v>
      </c>
      <c r="AZ48" s="5">
        <v>11595.0</v>
      </c>
      <c r="BA48" s="5">
        <v>8796.0</v>
      </c>
      <c r="BB48" s="5">
        <v>6581.0</v>
      </c>
      <c r="BC48" s="5">
        <v>3859.0</v>
      </c>
      <c r="BD48" s="5">
        <v>4818.0</v>
      </c>
      <c r="BE48" s="4"/>
      <c r="BF48" s="4"/>
      <c r="BG48" s="4"/>
      <c r="BH48" s="4"/>
      <c r="BI48" s="4"/>
      <c r="BJ48" s="4"/>
    </row>
    <row r="49">
      <c r="A49" s="5"/>
      <c r="B49" s="5" t="s">
        <v>140</v>
      </c>
      <c r="C49" s="5">
        <v>462928.0</v>
      </c>
      <c r="D49" s="5">
        <v>49742.0</v>
      </c>
      <c r="E49" s="5">
        <v>45037.0</v>
      </c>
      <c r="F49" s="5">
        <v>42530.0</v>
      </c>
      <c r="G49" s="5">
        <v>41832.0</v>
      </c>
      <c r="H49" s="5">
        <v>47780.0</v>
      </c>
      <c r="I49" s="5">
        <v>45425.0</v>
      </c>
      <c r="J49" s="5">
        <v>38811.0</v>
      </c>
      <c r="K49" s="5">
        <v>33074.0</v>
      </c>
      <c r="L49" s="5">
        <v>28688.0</v>
      </c>
      <c r="M49" s="5">
        <v>22698.0</v>
      </c>
      <c r="N49" s="5">
        <v>19832.0</v>
      </c>
      <c r="O49" s="5">
        <v>15837.0</v>
      </c>
      <c r="P49" s="5">
        <v>12519.0</v>
      </c>
      <c r="Q49" s="5">
        <v>8203.0</v>
      </c>
      <c r="R49" s="5">
        <v>5529.0</v>
      </c>
      <c r="S49" s="5">
        <v>2685.0</v>
      </c>
      <c r="T49" s="5">
        <v>2706.0</v>
      </c>
      <c r="U49" s="5">
        <v>231679.0</v>
      </c>
      <c r="V49" s="5">
        <v>25374.0</v>
      </c>
      <c r="W49" s="5">
        <v>23289.0</v>
      </c>
      <c r="X49" s="5">
        <v>21963.0</v>
      </c>
      <c r="Y49" s="5">
        <v>21244.0</v>
      </c>
      <c r="Z49" s="5">
        <v>23667.0</v>
      </c>
      <c r="AA49" s="5">
        <v>22160.0</v>
      </c>
      <c r="AB49" s="5">
        <v>19182.0</v>
      </c>
      <c r="AC49" s="5">
        <v>16450.0</v>
      </c>
      <c r="AD49" s="5">
        <v>14518.0</v>
      </c>
      <c r="AE49" s="5">
        <v>11556.0</v>
      </c>
      <c r="AF49" s="5">
        <v>9816.0</v>
      </c>
      <c r="AG49" s="5">
        <v>7924.0</v>
      </c>
      <c r="AH49" s="5">
        <v>6119.0</v>
      </c>
      <c r="AI49" s="5">
        <v>3846.0</v>
      </c>
      <c r="AJ49" s="5">
        <v>2538.0</v>
      </c>
      <c r="AK49" s="5">
        <v>1108.0</v>
      </c>
      <c r="AL49" s="5">
        <v>925.0</v>
      </c>
      <c r="AM49" s="5">
        <v>231249.0</v>
      </c>
      <c r="AN49" s="5">
        <v>24368.0</v>
      </c>
      <c r="AO49" s="5">
        <v>21748.0</v>
      </c>
      <c r="AP49" s="5">
        <v>20567.0</v>
      </c>
      <c r="AQ49" s="5">
        <v>20588.0</v>
      </c>
      <c r="AR49" s="5">
        <v>24113.0</v>
      </c>
      <c r="AS49" s="5">
        <v>23265.0</v>
      </c>
      <c r="AT49" s="5">
        <v>19629.0</v>
      </c>
      <c r="AU49" s="5">
        <v>16624.0</v>
      </c>
      <c r="AV49" s="5">
        <v>14170.0</v>
      </c>
      <c r="AW49" s="5">
        <v>11142.0</v>
      </c>
      <c r="AX49" s="5">
        <v>10016.0</v>
      </c>
      <c r="AY49" s="5">
        <v>7913.0</v>
      </c>
      <c r="AZ49" s="5">
        <v>6400.0</v>
      </c>
      <c r="BA49" s="5">
        <v>4357.0</v>
      </c>
      <c r="BB49" s="5">
        <v>2991.0</v>
      </c>
      <c r="BC49" s="5">
        <v>1577.0</v>
      </c>
      <c r="BD49" s="5">
        <v>1781.0</v>
      </c>
      <c r="BE49" s="4"/>
      <c r="BF49" s="4"/>
      <c r="BG49" s="4"/>
      <c r="BH49" s="4"/>
      <c r="BI49" s="4"/>
      <c r="BJ49" s="4"/>
    </row>
    <row r="50">
      <c r="A50" s="5"/>
      <c r="B50" s="5" t="s">
        <v>141</v>
      </c>
      <c r="C50" s="5">
        <v>260317.0</v>
      </c>
      <c r="D50" s="5">
        <v>22703.0</v>
      </c>
      <c r="E50" s="5">
        <v>23056.0</v>
      </c>
      <c r="F50" s="5">
        <v>23180.0</v>
      </c>
      <c r="G50" s="5">
        <v>24255.0</v>
      </c>
      <c r="H50" s="5">
        <v>27153.0</v>
      </c>
      <c r="I50" s="5">
        <v>24186.0</v>
      </c>
      <c r="J50" s="5">
        <v>21199.0</v>
      </c>
      <c r="K50" s="5">
        <v>17610.0</v>
      </c>
      <c r="L50" s="5">
        <v>15870.0</v>
      </c>
      <c r="M50" s="5">
        <v>14319.0</v>
      </c>
      <c r="N50" s="5">
        <v>12777.0</v>
      </c>
      <c r="O50" s="5">
        <v>10594.0</v>
      </c>
      <c r="P50" s="5">
        <v>8332.0</v>
      </c>
      <c r="Q50" s="5">
        <v>6208.0</v>
      </c>
      <c r="R50" s="5">
        <v>4425.0</v>
      </c>
      <c r="S50" s="5">
        <v>2272.0</v>
      </c>
      <c r="T50" s="5">
        <v>2178.0</v>
      </c>
      <c r="U50" s="5">
        <v>129907.0</v>
      </c>
      <c r="V50" s="5">
        <v>11824.0</v>
      </c>
      <c r="W50" s="5">
        <v>11921.0</v>
      </c>
      <c r="X50" s="5">
        <v>11922.0</v>
      </c>
      <c r="Y50" s="5">
        <v>12474.0</v>
      </c>
      <c r="Z50" s="5">
        <v>13802.0</v>
      </c>
      <c r="AA50" s="5">
        <v>12229.0</v>
      </c>
      <c r="AB50" s="5">
        <v>10751.0</v>
      </c>
      <c r="AC50" s="5">
        <v>8716.0</v>
      </c>
      <c r="AD50" s="5">
        <v>7850.0</v>
      </c>
      <c r="AE50" s="5">
        <v>7233.0</v>
      </c>
      <c r="AF50" s="5">
        <v>6311.0</v>
      </c>
      <c r="AG50" s="5">
        <v>5055.0</v>
      </c>
      <c r="AH50" s="5">
        <v>3910.0</v>
      </c>
      <c r="AI50" s="5">
        <v>2658.0</v>
      </c>
      <c r="AJ50" s="5">
        <v>1774.0</v>
      </c>
      <c r="AK50" s="5">
        <v>837.0</v>
      </c>
      <c r="AL50" s="5">
        <v>640.0</v>
      </c>
      <c r="AM50" s="5">
        <v>130410.0</v>
      </c>
      <c r="AN50" s="5">
        <v>10879.0</v>
      </c>
      <c r="AO50" s="5">
        <v>11135.0</v>
      </c>
      <c r="AP50" s="5">
        <v>11258.0</v>
      </c>
      <c r="AQ50" s="5">
        <v>11781.0</v>
      </c>
      <c r="AR50" s="5">
        <v>13351.0</v>
      </c>
      <c r="AS50" s="5">
        <v>11957.0</v>
      </c>
      <c r="AT50" s="5">
        <v>10448.0</v>
      </c>
      <c r="AU50" s="5">
        <v>8894.0</v>
      </c>
      <c r="AV50" s="5">
        <v>8020.0</v>
      </c>
      <c r="AW50" s="5">
        <v>7086.0</v>
      </c>
      <c r="AX50" s="5">
        <v>6466.0</v>
      </c>
      <c r="AY50" s="5">
        <v>5539.0</v>
      </c>
      <c r="AZ50" s="5">
        <v>4422.0</v>
      </c>
      <c r="BA50" s="5">
        <v>3550.0</v>
      </c>
      <c r="BB50" s="5">
        <v>2651.0</v>
      </c>
      <c r="BC50" s="5">
        <v>1435.0</v>
      </c>
      <c r="BD50" s="5">
        <v>1538.0</v>
      </c>
      <c r="BE50" s="4"/>
      <c r="BF50" s="4"/>
      <c r="BG50" s="4"/>
      <c r="BH50" s="4"/>
      <c r="BI50" s="4"/>
      <c r="BJ50" s="4"/>
    </row>
    <row r="51">
      <c r="A51" s="5"/>
      <c r="B51" s="5" t="s">
        <v>142</v>
      </c>
      <c r="C51" s="5">
        <v>1.6195042E7</v>
      </c>
      <c r="D51" s="5">
        <v>1553295.0</v>
      </c>
      <c r="E51" s="5">
        <v>1572079.0</v>
      </c>
      <c r="F51" s="5">
        <v>1550453.0</v>
      </c>
      <c r="G51" s="5">
        <v>1474716.0</v>
      </c>
      <c r="H51" s="5">
        <v>1511748.0</v>
      </c>
      <c r="I51" s="5">
        <v>1433847.0</v>
      </c>
      <c r="J51" s="5">
        <v>1299787.0</v>
      </c>
      <c r="K51" s="5">
        <v>1183643.0</v>
      </c>
      <c r="L51" s="5">
        <v>1066537.0</v>
      </c>
      <c r="M51" s="5">
        <v>873461.0</v>
      </c>
      <c r="N51" s="5">
        <v>760023.0</v>
      </c>
      <c r="O51" s="5">
        <v>620045.0</v>
      </c>
      <c r="P51" s="5">
        <v>500453.0</v>
      </c>
      <c r="Q51" s="5">
        <v>344340.0</v>
      </c>
      <c r="R51" s="5">
        <v>217671.0</v>
      </c>
      <c r="S51" s="5">
        <v>117824.0</v>
      </c>
      <c r="T51" s="5">
        <v>115120.0</v>
      </c>
      <c r="U51" s="5">
        <v>8157927.0</v>
      </c>
      <c r="V51" s="5">
        <v>802193.0</v>
      </c>
      <c r="W51" s="5">
        <v>816530.0</v>
      </c>
      <c r="X51" s="5">
        <v>801532.0</v>
      </c>
      <c r="Y51" s="5">
        <v>757016.0</v>
      </c>
      <c r="Z51" s="5">
        <v>771183.0</v>
      </c>
      <c r="AA51" s="5">
        <v>727707.0</v>
      </c>
      <c r="AB51" s="5">
        <v>663060.0</v>
      </c>
      <c r="AC51" s="5">
        <v>597645.0</v>
      </c>
      <c r="AD51" s="5">
        <v>539262.0</v>
      </c>
      <c r="AE51" s="5">
        <v>442550.0</v>
      </c>
      <c r="AF51" s="5">
        <v>377602.0</v>
      </c>
      <c r="AG51" s="5">
        <v>302413.0</v>
      </c>
      <c r="AH51" s="5">
        <v>237139.0</v>
      </c>
      <c r="AI51" s="5">
        <v>154973.0</v>
      </c>
      <c r="AJ51" s="5">
        <v>90165.0</v>
      </c>
      <c r="AK51" s="5">
        <v>42958.0</v>
      </c>
      <c r="AL51" s="5">
        <v>33999.0</v>
      </c>
      <c r="AM51" s="5">
        <v>8037115.0</v>
      </c>
      <c r="AN51" s="5">
        <v>751102.0</v>
      </c>
      <c r="AO51" s="5">
        <v>755549.0</v>
      </c>
      <c r="AP51" s="5">
        <v>748921.0</v>
      </c>
      <c r="AQ51" s="5">
        <v>717700.0</v>
      </c>
      <c r="AR51" s="5">
        <v>740565.0</v>
      </c>
      <c r="AS51" s="5">
        <v>706140.0</v>
      </c>
      <c r="AT51" s="5">
        <v>636727.0</v>
      </c>
      <c r="AU51" s="5">
        <v>585998.0</v>
      </c>
      <c r="AV51" s="5">
        <v>527275.0</v>
      </c>
      <c r="AW51" s="5">
        <v>430911.0</v>
      </c>
      <c r="AX51" s="5">
        <v>382421.0</v>
      </c>
      <c r="AY51" s="5">
        <v>317632.0</v>
      </c>
      <c r="AZ51" s="5">
        <v>263314.0</v>
      </c>
      <c r="BA51" s="5">
        <v>189367.0</v>
      </c>
      <c r="BB51" s="5">
        <v>127506.0</v>
      </c>
      <c r="BC51" s="5">
        <v>74866.0</v>
      </c>
      <c r="BD51" s="5">
        <v>81121.0</v>
      </c>
      <c r="BE51" s="4"/>
      <c r="BF51" s="4"/>
      <c r="BG51" s="4"/>
      <c r="BH51" s="4"/>
      <c r="BI51" s="4"/>
      <c r="BJ51" s="4"/>
    </row>
    <row r="52">
      <c r="A52" s="5"/>
      <c r="B52" s="5" t="s">
        <v>143</v>
      </c>
      <c r="C52" s="5">
        <v>2908494.0</v>
      </c>
      <c r="D52" s="5">
        <v>275907.0</v>
      </c>
      <c r="E52" s="5">
        <v>275430.0</v>
      </c>
      <c r="F52" s="5">
        <v>274122.0</v>
      </c>
      <c r="G52" s="5">
        <v>272757.0</v>
      </c>
      <c r="H52" s="5">
        <v>278414.0</v>
      </c>
      <c r="I52" s="5">
        <v>258252.0</v>
      </c>
      <c r="J52" s="5">
        <v>222327.0</v>
      </c>
      <c r="K52" s="5">
        <v>205927.0</v>
      </c>
      <c r="L52" s="5">
        <v>185925.0</v>
      </c>
      <c r="M52" s="5">
        <v>156494.0</v>
      </c>
      <c r="N52" s="5">
        <v>136704.0</v>
      </c>
      <c r="O52" s="5">
        <v>109361.0</v>
      </c>
      <c r="P52" s="5">
        <v>90404.0</v>
      </c>
      <c r="Q52" s="5">
        <v>66029.0</v>
      </c>
      <c r="R52" s="5">
        <v>45969.0</v>
      </c>
      <c r="S52" s="5">
        <v>26339.0</v>
      </c>
      <c r="T52" s="5">
        <v>28133.0</v>
      </c>
      <c r="U52" s="5">
        <v>1464312.0</v>
      </c>
      <c r="V52" s="5">
        <v>143031.0</v>
      </c>
      <c r="W52" s="5">
        <v>143842.0</v>
      </c>
      <c r="X52" s="5">
        <v>142390.0</v>
      </c>
      <c r="Y52" s="5">
        <v>140476.0</v>
      </c>
      <c r="Z52" s="5">
        <v>142002.0</v>
      </c>
      <c r="AA52" s="5">
        <v>130743.0</v>
      </c>
      <c r="AB52" s="5">
        <v>113055.0</v>
      </c>
      <c r="AC52" s="5">
        <v>103864.0</v>
      </c>
      <c r="AD52" s="5">
        <v>94493.0</v>
      </c>
      <c r="AE52" s="5">
        <v>79401.0</v>
      </c>
      <c r="AF52" s="5">
        <v>68457.0</v>
      </c>
      <c r="AG52" s="5">
        <v>53996.0</v>
      </c>
      <c r="AH52" s="5">
        <v>43187.0</v>
      </c>
      <c r="AI52" s="5">
        <v>29427.0</v>
      </c>
      <c r="AJ52" s="5">
        <v>18456.0</v>
      </c>
      <c r="AK52" s="5">
        <v>9316.0</v>
      </c>
      <c r="AL52" s="5">
        <v>8176.0</v>
      </c>
      <c r="AM52" s="5">
        <v>1444182.0</v>
      </c>
      <c r="AN52" s="5">
        <v>132876.0</v>
      </c>
      <c r="AO52" s="5">
        <v>131588.0</v>
      </c>
      <c r="AP52" s="5">
        <v>131732.0</v>
      </c>
      <c r="AQ52" s="5">
        <v>132281.0</v>
      </c>
      <c r="AR52" s="5">
        <v>136412.0</v>
      </c>
      <c r="AS52" s="5">
        <v>127509.0</v>
      </c>
      <c r="AT52" s="5">
        <v>109272.0</v>
      </c>
      <c r="AU52" s="5">
        <v>102063.0</v>
      </c>
      <c r="AV52" s="5">
        <v>91432.0</v>
      </c>
      <c r="AW52" s="5">
        <v>77093.0</v>
      </c>
      <c r="AX52" s="5">
        <v>68247.0</v>
      </c>
      <c r="AY52" s="5">
        <v>55365.0</v>
      </c>
      <c r="AZ52" s="5">
        <v>47217.0</v>
      </c>
      <c r="BA52" s="5">
        <v>36602.0</v>
      </c>
      <c r="BB52" s="5">
        <v>27513.0</v>
      </c>
      <c r="BC52" s="5">
        <v>17023.0</v>
      </c>
      <c r="BD52" s="5">
        <v>19957.0</v>
      </c>
      <c r="BE52" s="4"/>
      <c r="BF52" s="4"/>
      <c r="BG52" s="4"/>
      <c r="BH52" s="4"/>
      <c r="BI52" s="4"/>
      <c r="BJ52" s="4"/>
    </row>
    <row r="53">
      <c r="A53" s="5"/>
      <c r="B53" s="5" t="s">
        <v>144</v>
      </c>
      <c r="C53" s="5">
        <v>4344829.0</v>
      </c>
      <c r="D53" s="5">
        <v>401628.0</v>
      </c>
      <c r="E53" s="5">
        <v>404867.0</v>
      </c>
      <c r="F53" s="5">
        <v>400060.0</v>
      </c>
      <c r="G53" s="5">
        <v>383093.0</v>
      </c>
      <c r="H53" s="5">
        <v>408214.0</v>
      </c>
      <c r="I53" s="5">
        <v>392983.0</v>
      </c>
      <c r="J53" s="5">
        <v>367147.0</v>
      </c>
      <c r="K53" s="5">
        <v>335404.0</v>
      </c>
      <c r="L53" s="5">
        <v>298930.0</v>
      </c>
      <c r="M53" s="5">
        <v>241479.0</v>
      </c>
      <c r="N53" s="5">
        <v>208129.0</v>
      </c>
      <c r="O53" s="5">
        <v>168756.0</v>
      </c>
      <c r="P53" s="5">
        <v>132471.0</v>
      </c>
      <c r="Q53" s="5">
        <v>88110.0</v>
      </c>
      <c r="R53" s="5">
        <v>55806.0</v>
      </c>
      <c r="S53" s="5">
        <v>28760.0</v>
      </c>
      <c r="T53" s="5">
        <v>28992.0</v>
      </c>
      <c r="U53" s="5">
        <v>2181053.0</v>
      </c>
      <c r="V53" s="5">
        <v>207721.0</v>
      </c>
      <c r="W53" s="5">
        <v>210466.0</v>
      </c>
      <c r="X53" s="5">
        <v>206632.0</v>
      </c>
      <c r="Y53" s="5">
        <v>196174.0</v>
      </c>
      <c r="Z53" s="5">
        <v>208118.0</v>
      </c>
      <c r="AA53" s="5">
        <v>199845.0</v>
      </c>
      <c r="AB53" s="5">
        <v>186641.0</v>
      </c>
      <c r="AC53" s="5">
        <v>168443.0</v>
      </c>
      <c r="AD53" s="5">
        <v>149427.0</v>
      </c>
      <c r="AE53" s="5">
        <v>121005.0</v>
      </c>
      <c r="AF53" s="5">
        <v>102093.0</v>
      </c>
      <c r="AG53" s="5">
        <v>81039.0</v>
      </c>
      <c r="AH53" s="5">
        <v>61695.0</v>
      </c>
      <c r="AI53" s="5">
        <v>39435.0</v>
      </c>
      <c r="AJ53" s="5">
        <v>23073.0</v>
      </c>
      <c r="AK53" s="5">
        <v>10543.0</v>
      </c>
      <c r="AL53" s="5">
        <v>8703.0</v>
      </c>
      <c r="AM53" s="5">
        <v>2163776.0</v>
      </c>
      <c r="AN53" s="5">
        <v>193907.0</v>
      </c>
      <c r="AO53" s="5">
        <v>194401.0</v>
      </c>
      <c r="AP53" s="5">
        <v>193428.0</v>
      </c>
      <c r="AQ53" s="5">
        <v>186919.0</v>
      </c>
      <c r="AR53" s="5">
        <v>200096.0</v>
      </c>
      <c r="AS53" s="5">
        <v>193138.0</v>
      </c>
      <c r="AT53" s="5">
        <v>180506.0</v>
      </c>
      <c r="AU53" s="5">
        <v>166961.0</v>
      </c>
      <c r="AV53" s="5">
        <v>149503.0</v>
      </c>
      <c r="AW53" s="5">
        <v>120474.0</v>
      </c>
      <c r="AX53" s="5">
        <v>106036.0</v>
      </c>
      <c r="AY53" s="5">
        <v>87717.0</v>
      </c>
      <c r="AZ53" s="5">
        <v>70776.0</v>
      </c>
      <c r="BA53" s="5">
        <v>48675.0</v>
      </c>
      <c r="BB53" s="5">
        <v>32733.0</v>
      </c>
      <c r="BC53" s="5">
        <v>18217.0</v>
      </c>
      <c r="BD53" s="5">
        <v>20289.0</v>
      </c>
      <c r="BE53" s="4"/>
      <c r="BF53" s="4"/>
      <c r="BG53" s="4"/>
      <c r="BH53" s="4"/>
      <c r="BI53" s="4"/>
      <c r="BJ53" s="4"/>
    </row>
    <row r="54">
      <c r="A54" s="5"/>
      <c r="B54" s="5" t="s">
        <v>145</v>
      </c>
      <c r="C54" s="5">
        <v>3382193.0</v>
      </c>
      <c r="D54" s="5">
        <v>312103.0</v>
      </c>
      <c r="E54" s="5">
        <v>316735.0</v>
      </c>
      <c r="F54" s="5">
        <v>309422.0</v>
      </c>
      <c r="G54" s="5">
        <v>290445.0</v>
      </c>
      <c r="H54" s="5">
        <v>319606.0</v>
      </c>
      <c r="I54" s="5">
        <v>321848.0</v>
      </c>
      <c r="J54" s="5">
        <v>288495.0</v>
      </c>
      <c r="K54" s="5">
        <v>259885.0</v>
      </c>
      <c r="L54" s="5">
        <v>231792.0</v>
      </c>
      <c r="M54" s="5">
        <v>182378.0</v>
      </c>
      <c r="N54" s="5">
        <v>157220.0</v>
      </c>
      <c r="O54" s="5">
        <v>128661.0</v>
      </c>
      <c r="P54" s="5">
        <v>104978.0</v>
      </c>
      <c r="Q54" s="5">
        <v>71946.0</v>
      </c>
      <c r="R54" s="5">
        <v>42965.0</v>
      </c>
      <c r="S54" s="5">
        <v>22586.0</v>
      </c>
      <c r="T54" s="5">
        <v>21128.0</v>
      </c>
      <c r="U54" s="5">
        <v>1699576.0</v>
      </c>
      <c r="V54" s="5">
        <v>161531.0</v>
      </c>
      <c r="W54" s="5">
        <v>164073.0</v>
      </c>
      <c r="X54" s="5">
        <v>160138.0</v>
      </c>
      <c r="Y54" s="5">
        <v>149541.0</v>
      </c>
      <c r="Z54" s="5">
        <v>162088.0</v>
      </c>
      <c r="AA54" s="5">
        <v>162346.0</v>
      </c>
      <c r="AB54" s="5">
        <v>147183.0</v>
      </c>
      <c r="AC54" s="5">
        <v>130814.0</v>
      </c>
      <c r="AD54" s="5">
        <v>116750.0</v>
      </c>
      <c r="AE54" s="5">
        <v>92509.0</v>
      </c>
      <c r="AF54" s="5">
        <v>77716.0</v>
      </c>
      <c r="AG54" s="5">
        <v>61575.0</v>
      </c>
      <c r="AH54" s="5">
        <v>49316.0</v>
      </c>
      <c r="AI54" s="5">
        <v>32034.0</v>
      </c>
      <c r="AJ54" s="5">
        <v>17766.0</v>
      </c>
      <c r="AK54" s="5">
        <v>8174.0</v>
      </c>
      <c r="AL54" s="5">
        <v>6022.0</v>
      </c>
      <c r="AM54" s="5">
        <v>1682617.0</v>
      </c>
      <c r="AN54" s="5">
        <v>150572.0</v>
      </c>
      <c r="AO54" s="5">
        <v>152662.0</v>
      </c>
      <c r="AP54" s="5">
        <v>149284.0</v>
      </c>
      <c r="AQ54" s="5">
        <v>140904.0</v>
      </c>
      <c r="AR54" s="5">
        <v>157518.0</v>
      </c>
      <c r="AS54" s="5">
        <v>159502.0</v>
      </c>
      <c r="AT54" s="5">
        <v>141312.0</v>
      </c>
      <c r="AU54" s="5">
        <v>129071.0</v>
      </c>
      <c r="AV54" s="5">
        <v>115042.0</v>
      </c>
      <c r="AW54" s="5">
        <v>89869.0</v>
      </c>
      <c r="AX54" s="5">
        <v>79504.0</v>
      </c>
      <c r="AY54" s="5">
        <v>67086.0</v>
      </c>
      <c r="AZ54" s="5">
        <v>55662.0</v>
      </c>
      <c r="BA54" s="5">
        <v>39912.0</v>
      </c>
      <c r="BB54" s="5">
        <v>25199.0</v>
      </c>
      <c r="BC54" s="5">
        <v>14412.0</v>
      </c>
      <c r="BD54" s="5">
        <v>15106.0</v>
      </c>
      <c r="BE54" s="4"/>
      <c r="BF54" s="4"/>
      <c r="BG54" s="4"/>
      <c r="BH54" s="4"/>
      <c r="BI54" s="4"/>
      <c r="BJ54" s="4"/>
    </row>
    <row r="55">
      <c r="A55" s="5"/>
      <c r="B55" s="5" t="s">
        <v>146</v>
      </c>
      <c r="C55" s="5">
        <v>1950459.0</v>
      </c>
      <c r="D55" s="5">
        <v>200900.0</v>
      </c>
      <c r="E55" s="5">
        <v>210470.0</v>
      </c>
      <c r="F55" s="5">
        <v>213205.0</v>
      </c>
      <c r="G55" s="5">
        <v>196683.0</v>
      </c>
      <c r="H55" s="5">
        <v>170507.0</v>
      </c>
      <c r="I55" s="5">
        <v>148723.0</v>
      </c>
      <c r="J55" s="5">
        <v>132415.0</v>
      </c>
      <c r="K55" s="5">
        <v>119486.0</v>
      </c>
      <c r="L55" s="5">
        <v>111908.0</v>
      </c>
      <c r="M55" s="5">
        <v>99411.0</v>
      </c>
      <c r="N55" s="5">
        <v>92277.0</v>
      </c>
      <c r="O55" s="5">
        <v>78801.0</v>
      </c>
      <c r="P55" s="5">
        <v>65111.0</v>
      </c>
      <c r="Q55" s="5">
        <v>46153.0</v>
      </c>
      <c r="R55" s="5">
        <v>29299.0</v>
      </c>
      <c r="S55" s="5">
        <v>17896.0</v>
      </c>
      <c r="T55" s="5">
        <v>17214.0</v>
      </c>
      <c r="U55" s="5">
        <v>993305.0</v>
      </c>
      <c r="V55" s="5">
        <v>103419.0</v>
      </c>
      <c r="W55" s="5">
        <v>109091.0</v>
      </c>
      <c r="X55" s="5">
        <v>109905.0</v>
      </c>
      <c r="Y55" s="5">
        <v>101397.0</v>
      </c>
      <c r="Z55" s="5">
        <v>88437.0</v>
      </c>
      <c r="AA55" s="5">
        <v>76383.0</v>
      </c>
      <c r="AB55" s="5">
        <v>68203.0</v>
      </c>
      <c r="AC55" s="5">
        <v>61699.0</v>
      </c>
      <c r="AD55" s="5">
        <v>57981.0</v>
      </c>
      <c r="AE55" s="5">
        <v>51402.0</v>
      </c>
      <c r="AF55" s="5">
        <v>47243.0</v>
      </c>
      <c r="AG55" s="5">
        <v>40227.0</v>
      </c>
      <c r="AH55" s="5">
        <v>32096.0</v>
      </c>
      <c r="AI55" s="5">
        <v>21650.0</v>
      </c>
      <c r="AJ55" s="5">
        <v>12424.0</v>
      </c>
      <c r="AK55" s="5">
        <v>6599.0</v>
      </c>
      <c r="AL55" s="5">
        <v>5149.0</v>
      </c>
      <c r="AM55" s="5">
        <v>957154.0</v>
      </c>
      <c r="AN55" s="5">
        <v>97481.0</v>
      </c>
      <c r="AO55" s="5">
        <v>101379.0</v>
      </c>
      <c r="AP55" s="5">
        <v>103300.0</v>
      </c>
      <c r="AQ55" s="5">
        <v>95286.0</v>
      </c>
      <c r="AR55" s="5">
        <v>82070.0</v>
      </c>
      <c r="AS55" s="5">
        <v>72340.0</v>
      </c>
      <c r="AT55" s="5">
        <v>64212.0</v>
      </c>
      <c r="AU55" s="5">
        <v>57787.0</v>
      </c>
      <c r="AV55" s="5">
        <v>53927.0</v>
      </c>
      <c r="AW55" s="5">
        <v>48009.0</v>
      </c>
      <c r="AX55" s="5">
        <v>45034.0</v>
      </c>
      <c r="AY55" s="5">
        <v>38574.0</v>
      </c>
      <c r="AZ55" s="5">
        <v>33015.0</v>
      </c>
      <c r="BA55" s="5">
        <v>24503.0</v>
      </c>
      <c r="BB55" s="5">
        <v>16875.0</v>
      </c>
      <c r="BC55" s="5">
        <v>11297.0</v>
      </c>
      <c r="BD55" s="5">
        <v>12065.0</v>
      </c>
      <c r="BE55" s="4"/>
      <c r="BF55" s="4"/>
      <c r="BG55" s="4"/>
      <c r="BH55" s="4"/>
      <c r="BI55" s="4"/>
      <c r="BJ55" s="4"/>
    </row>
    <row r="56">
      <c r="A56" s="5"/>
      <c r="B56" s="5" t="s">
        <v>147</v>
      </c>
      <c r="C56" s="5">
        <v>3330143.0</v>
      </c>
      <c r="D56" s="5">
        <v>332966.0</v>
      </c>
      <c r="E56" s="5">
        <v>335470.0</v>
      </c>
      <c r="F56" s="5">
        <v>325087.0</v>
      </c>
      <c r="G56" s="5">
        <v>304610.0</v>
      </c>
      <c r="H56" s="5">
        <v>307939.0</v>
      </c>
      <c r="I56" s="5">
        <v>288681.0</v>
      </c>
      <c r="J56" s="5">
        <v>269529.0</v>
      </c>
      <c r="K56" s="5">
        <v>245113.0</v>
      </c>
      <c r="L56" s="5">
        <v>221576.0</v>
      </c>
      <c r="M56" s="5">
        <v>179744.0</v>
      </c>
      <c r="N56" s="5">
        <v>152940.0</v>
      </c>
      <c r="O56" s="5">
        <v>123691.0</v>
      </c>
      <c r="P56" s="5">
        <v>98898.0</v>
      </c>
      <c r="Q56" s="5">
        <v>66038.0</v>
      </c>
      <c r="R56" s="5">
        <v>39965.0</v>
      </c>
      <c r="S56" s="5">
        <v>20206.0</v>
      </c>
      <c r="T56" s="5">
        <v>17690.0</v>
      </c>
      <c r="U56" s="5">
        <v>1680239.0</v>
      </c>
      <c r="V56" s="5">
        <v>171026.0</v>
      </c>
      <c r="W56" s="5">
        <v>174068.0</v>
      </c>
      <c r="X56" s="5">
        <v>167819.0</v>
      </c>
      <c r="Y56" s="5">
        <v>155702.0</v>
      </c>
      <c r="Z56" s="5">
        <v>156764.0</v>
      </c>
      <c r="AA56" s="5">
        <v>146435.0</v>
      </c>
      <c r="AB56" s="5">
        <v>137967.0</v>
      </c>
      <c r="AC56" s="5">
        <v>123803.0</v>
      </c>
      <c r="AD56" s="5">
        <v>112404.0</v>
      </c>
      <c r="AE56" s="5">
        <v>91267.0</v>
      </c>
      <c r="AF56" s="5">
        <v>75963.0</v>
      </c>
      <c r="AG56" s="5">
        <v>60314.0</v>
      </c>
      <c r="AH56" s="5">
        <v>46810.0</v>
      </c>
      <c r="AI56" s="5">
        <v>29794.0</v>
      </c>
      <c r="AJ56" s="5">
        <v>17018.0</v>
      </c>
      <c r="AK56" s="5">
        <v>7650.0</v>
      </c>
      <c r="AL56" s="5">
        <v>5435.0</v>
      </c>
      <c r="AM56" s="5">
        <v>1649904.0</v>
      </c>
      <c r="AN56" s="5">
        <v>161940.0</v>
      </c>
      <c r="AO56" s="5">
        <v>161402.0</v>
      </c>
      <c r="AP56" s="5">
        <v>157268.0</v>
      </c>
      <c r="AQ56" s="5">
        <v>148908.0</v>
      </c>
      <c r="AR56" s="5">
        <v>151175.0</v>
      </c>
      <c r="AS56" s="5">
        <v>142246.0</v>
      </c>
      <c r="AT56" s="5">
        <v>131562.0</v>
      </c>
      <c r="AU56" s="5">
        <v>121310.0</v>
      </c>
      <c r="AV56" s="5">
        <v>109172.0</v>
      </c>
      <c r="AW56" s="5">
        <v>88477.0</v>
      </c>
      <c r="AX56" s="5">
        <v>76977.0</v>
      </c>
      <c r="AY56" s="5">
        <v>63377.0</v>
      </c>
      <c r="AZ56" s="5">
        <v>52088.0</v>
      </c>
      <c r="BA56" s="5">
        <v>36244.0</v>
      </c>
      <c r="BB56" s="5">
        <v>22947.0</v>
      </c>
      <c r="BC56" s="5">
        <v>12556.0</v>
      </c>
      <c r="BD56" s="5">
        <v>12255.0</v>
      </c>
      <c r="BE56" s="4"/>
      <c r="BF56" s="4"/>
      <c r="BG56" s="4"/>
      <c r="BH56" s="4"/>
      <c r="BI56" s="4"/>
      <c r="BJ56" s="4"/>
    </row>
    <row r="57">
      <c r="A57" s="5"/>
      <c r="B57" s="5" t="s">
        <v>148</v>
      </c>
      <c r="C57" s="5">
        <v>278924.0</v>
      </c>
      <c r="D57" s="5">
        <v>29791.0</v>
      </c>
      <c r="E57" s="5">
        <v>29107.0</v>
      </c>
      <c r="F57" s="5">
        <v>28557.0</v>
      </c>
      <c r="G57" s="5">
        <v>27128.0</v>
      </c>
      <c r="H57" s="5">
        <v>27068.0</v>
      </c>
      <c r="I57" s="5">
        <v>23360.0</v>
      </c>
      <c r="J57" s="5">
        <v>19874.0</v>
      </c>
      <c r="K57" s="5">
        <v>17828.0</v>
      </c>
      <c r="L57" s="5">
        <v>16406.0</v>
      </c>
      <c r="M57" s="5">
        <v>13955.0</v>
      </c>
      <c r="N57" s="5">
        <v>12753.0</v>
      </c>
      <c r="O57" s="5">
        <v>10775.0</v>
      </c>
      <c r="P57" s="5">
        <v>8591.0</v>
      </c>
      <c r="Q57" s="5">
        <v>6064.0</v>
      </c>
      <c r="R57" s="5">
        <v>3667.0</v>
      </c>
      <c r="S57" s="5">
        <v>2037.0</v>
      </c>
      <c r="T57" s="5">
        <v>1963.0</v>
      </c>
      <c r="U57" s="5">
        <v>139442.0</v>
      </c>
      <c r="V57" s="5">
        <v>15465.0</v>
      </c>
      <c r="W57" s="5">
        <v>14990.0</v>
      </c>
      <c r="X57" s="5">
        <v>14648.0</v>
      </c>
      <c r="Y57" s="5">
        <v>13726.0</v>
      </c>
      <c r="Z57" s="5">
        <v>13774.0</v>
      </c>
      <c r="AA57" s="5">
        <v>11955.0</v>
      </c>
      <c r="AB57" s="5">
        <v>10011.0</v>
      </c>
      <c r="AC57" s="5">
        <v>9022.0</v>
      </c>
      <c r="AD57" s="5">
        <v>8207.0</v>
      </c>
      <c r="AE57" s="5">
        <v>6966.0</v>
      </c>
      <c r="AF57" s="5">
        <v>6130.0</v>
      </c>
      <c r="AG57" s="5">
        <v>5262.0</v>
      </c>
      <c r="AH57" s="5">
        <v>4035.0</v>
      </c>
      <c r="AI57" s="5">
        <v>2633.0</v>
      </c>
      <c r="AJ57" s="5">
        <v>1428.0</v>
      </c>
      <c r="AK57" s="5">
        <v>676.0</v>
      </c>
      <c r="AL57" s="5">
        <v>514.0</v>
      </c>
      <c r="AM57" s="5">
        <v>139482.0</v>
      </c>
      <c r="AN57" s="5">
        <v>14326.0</v>
      </c>
      <c r="AO57" s="5">
        <v>14117.0</v>
      </c>
      <c r="AP57" s="5">
        <v>13909.0</v>
      </c>
      <c r="AQ57" s="5">
        <v>13402.0</v>
      </c>
      <c r="AR57" s="5">
        <v>13294.0</v>
      </c>
      <c r="AS57" s="5">
        <v>11405.0</v>
      </c>
      <c r="AT57" s="5">
        <v>9863.0</v>
      </c>
      <c r="AU57" s="5">
        <v>8806.0</v>
      </c>
      <c r="AV57" s="5">
        <v>8199.0</v>
      </c>
      <c r="AW57" s="5">
        <v>6989.0</v>
      </c>
      <c r="AX57" s="5">
        <v>6623.0</v>
      </c>
      <c r="AY57" s="5">
        <v>5513.0</v>
      </c>
      <c r="AZ57" s="5">
        <v>4556.0</v>
      </c>
      <c r="BA57" s="5">
        <v>3431.0</v>
      </c>
      <c r="BB57" s="5">
        <v>2239.0</v>
      </c>
      <c r="BC57" s="5">
        <v>1361.0</v>
      </c>
      <c r="BD57" s="5">
        <v>1449.0</v>
      </c>
      <c r="BE57" s="4"/>
      <c r="BF57" s="4"/>
      <c r="BG57" s="4"/>
      <c r="BH57" s="4"/>
      <c r="BI57" s="4"/>
      <c r="BJ57" s="4"/>
    </row>
    <row r="58">
      <c r="A58" s="5"/>
      <c r="B58" s="5" t="s">
        <v>149</v>
      </c>
      <c r="C58" s="5">
        <v>3228558.0</v>
      </c>
      <c r="D58" s="5">
        <v>332073.0</v>
      </c>
      <c r="E58" s="5">
        <v>356218.0</v>
      </c>
      <c r="F58" s="5">
        <v>357972.0</v>
      </c>
      <c r="G58" s="5">
        <v>339057.0</v>
      </c>
      <c r="H58" s="5">
        <v>295056.0</v>
      </c>
      <c r="I58" s="5">
        <v>253990.0</v>
      </c>
      <c r="J58" s="5">
        <v>220795.0</v>
      </c>
      <c r="K58" s="5">
        <v>199894.0</v>
      </c>
      <c r="L58" s="5">
        <v>181006.0</v>
      </c>
      <c r="M58" s="5">
        <v>160250.0</v>
      </c>
      <c r="N58" s="5">
        <v>140783.0</v>
      </c>
      <c r="O58" s="5">
        <v>118630.0</v>
      </c>
      <c r="P58" s="5">
        <v>97817.0</v>
      </c>
      <c r="Q58" s="5">
        <v>69766.0</v>
      </c>
      <c r="R58" s="5">
        <v>47291.0</v>
      </c>
      <c r="S58" s="5">
        <v>29082.0</v>
      </c>
      <c r="T58" s="5">
        <v>28878.0</v>
      </c>
      <c r="U58" s="5">
        <v>1652942.0</v>
      </c>
      <c r="V58" s="5">
        <v>171928.0</v>
      </c>
      <c r="W58" s="5">
        <v>184518.0</v>
      </c>
      <c r="X58" s="5">
        <v>185084.0</v>
      </c>
      <c r="Y58" s="5">
        <v>173268.0</v>
      </c>
      <c r="Z58" s="5">
        <v>151978.0</v>
      </c>
      <c r="AA58" s="5">
        <v>130080.0</v>
      </c>
      <c r="AB58" s="5">
        <v>114084.0</v>
      </c>
      <c r="AC58" s="5">
        <v>104071.0</v>
      </c>
      <c r="AD58" s="5">
        <v>95121.0</v>
      </c>
      <c r="AE58" s="5">
        <v>84194.0</v>
      </c>
      <c r="AF58" s="5">
        <v>73062.0</v>
      </c>
      <c r="AG58" s="5">
        <v>60982.0</v>
      </c>
      <c r="AH58" s="5">
        <v>48828.0</v>
      </c>
      <c r="AI58" s="5">
        <v>33448.0</v>
      </c>
      <c r="AJ58" s="5">
        <v>20944.0</v>
      </c>
      <c r="AK58" s="5">
        <v>11801.0</v>
      </c>
      <c r="AL58" s="5">
        <v>9551.0</v>
      </c>
      <c r="AM58" s="5">
        <v>1575616.0</v>
      </c>
      <c r="AN58" s="5">
        <v>160145.0</v>
      </c>
      <c r="AO58" s="5">
        <v>171700.0</v>
      </c>
      <c r="AP58" s="5">
        <v>172888.0</v>
      </c>
      <c r="AQ58" s="5">
        <v>165789.0</v>
      </c>
      <c r="AR58" s="5">
        <v>143078.0</v>
      </c>
      <c r="AS58" s="5">
        <v>123910.0</v>
      </c>
      <c r="AT58" s="5">
        <v>106711.0</v>
      </c>
      <c r="AU58" s="5">
        <v>95823.0</v>
      </c>
      <c r="AV58" s="5">
        <v>85885.0</v>
      </c>
      <c r="AW58" s="5">
        <v>76056.0</v>
      </c>
      <c r="AX58" s="5">
        <v>67721.0</v>
      </c>
      <c r="AY58" s="5">
        <v>57648.0</v>
      </c>
      <c r="AZ58" s="5">
        <v>48989.0</v>
      </c>
      <c r="BA58" s="5">
        <v>36318.0</v>
      </c>
      <c r="BB58" s="5">
        <v>26347.0</v>
      </c>
      <c r="BC58" s="5">
        <v>17281.0</v>
      </c>
      <c r="BD58" s="5">
        <v>19327.0</v>
      </c>
      <c r="BE58" s="4"/>
      <c r="BF58" s="4"/>
      <c r="BG58" s="4"/>
      <c r="BH58" s="4"/>
      <c r="BI58" s="4"/>
      <c r="BJ58" s="4"/>
    </row>
    <row r="59">
      <c r="A59" s="5"/>
      <c r="B59" s="5" t="s">
        <v>150</v>
      </c>
      <c r="C59" s="5">
        <v>239207.0</v>
      </c>
      <c r="D59" s="5">
        <v>23491.0</v>
      </c>
      <c r="E59" s="5">
        <v>24763.0</v>
      </c>
      <c r="F59" s="5">
        <v>26120.0</v>
      </c>
      <c r="G59" s="5">
        <v>25057.0</v>
      </c>
      <c r="H59" s="5">
        <v>19067.0</v>
      </c>
      <c r="I59" s="5">
        <v>14994.0</v>
      </c>
      <c r="J59" s="5">
        <v>14200.0</v>
      </c>
      <c r="K59" s="5">
        <v>13461.0</v>
      </c>
      <c r="L59" s="5">
        <v>13695.0</v>
      </c>
      <c r="M59" s="5">
        <v>12457.0</v>
      </c>
      <c r="N59" s="5">
        <v>12199.0</v>
      </c>
      <c r="O59" s="5">
        <v>10342.0</v>
      </c>
      <c r="P59" s="5">
        <v>9602.0</v>
      </c>
      <c r="Q59" s="5">
        <v>7432.0</v>
      </c>
      <c r="R59" s="5">
        <v>5463.0</v>
      </c>
      <c r="S59" s="5">
        <v>3496.0</v>
      </c>
      <c r="T59" s="5">
        <v>3368.0</v>
      </c>
      <c r="U59" s="5">
        <v>120592.0</v>
      </c>
      <c r="V59" s="5">
        <v>12296.0</v>
      </c>
      <c r="W59" s="5">
        <v>12834.0</v>
      </c>
      <c r="X59" s="5">
        <v>13427.0</v>
      </c>
      <c r="Y59" s="5">
        <v>12898.0</v>
      </c>
      <c r="Z59" s="5">
        <v>10066.0</v>
      </c>
      <c r="AA59" s="5">
        <v>7655.0</v>
      </c>
      <c r="AB59" s="5">
        <v>7125.0</v>
      </c>
      <c r="AC59" s="5">
        <v>6848.0</v>
      </c>
      <c r="AD59" s="5">
        <v>7019.0</v>
      </c>
      <c r="AE59" s="5">
        <v>6377.0</v>
      </c>
      <c r="AF59" s="5">
        <v>6192.0</v>
      </c>
      <c r="AG59" s="5">
        <v>5102.0</v>
      </c>
      <c r="AH59" s="5">
        <v>4693.0</v>
      </c>
      <c r="AI59" s="5">
        <v>3437.0</v>
      </c>
      <c r="AJ59" s="5">
        <v>2354.0</v>
      </c>
      <c r="AK59" s="5">
        <v>1311.0</v>
      </c>
      <c r="AL59" s="5">
        <v>958.0</v>
      </c>
      <c r="AM59" s="5">
        <v>118615.0</v>
      </c>
      <c r="AN59" s="5">
        <v>11195.0</v>
      </c>
      <c r="AO59" s="5">
        <v>11929.0</v>
      </c>
      <c r="AP59" s="5">
        <v>12693.0</v>
      </c>
      <c r="AQ59" s="5">
        <v>12159.0</v>
      </c>
      <c r="AR59" s="5">
        <v>9001.0</v>
      </c>
      <c r="AS59" s="5">
        <v>7339.0</v>
      </c>
      <c r="AT59" s="5">
        <v>7075.0</v>
      </c>
      <c r="AU59" s="5">
        <v>6613.0</v>
      </c>
      <c r="AV59" s="5">
        <v>6676.0</v>
      </c>
      <c r="AW59" s="5">
        <v>6080.0</v>
      </c>
      <c r="AX59" s="5">
        <v>6007.0</v>
      </c>
      <c r="AY59" s="5">
        <v>5240.0</v>
      </c>
      <c r="AZ59" s="5">
        <v>4909.0</v>
      </c>
      <c r="BA59" s="5">
        <v>3995.0</v>
      </c>
      <c r="BB59" s="5">
        <v>3109.0</v>
      </c>
      <c r="BC59" s="5">
        <v>2185.0</v>
      </c>
      <c r="BD59" s="5">
        <v>2410.0</v>
      </c>
      <c r="BE59" s="4"/>
      <c r="BF59" s="4"/>
      <c r="BG59" s="4"/>
      <c r="BH59" s="4"/>
      <c r="BI59" s="4"/>
      <c r="BJ59" s="4"/>
    </row>
    <row r="60">
      <c r="A60" s="5"/>
      <c r="B60" s="5" t="s">
        <v>151</v>
      </c>
      <c r="C60" s="5">
        <v>525354.0</v>
      </c>
      <c r="D60" s="5">
        <v>58036.0</v>
      </c>
      <c r="E60" s="5">
        <v>61110.0</v>
      </c>
      <c r="F60" s="5">
        <v>60345.0</v>
      </c>
      <c r="G60" s="5">
        <v>55640.0</v>
      </c>
      <c r="H60" s="5">
        <v>45930.0</v>
      </c>
      <c r="I60" s="5">
        <v>39579.0</v>
      </c>
      <c r="J60" s="5">
        <v>34793.0</v>
      </c>
      <c r="K60" s="5">
        <v>32272.0</v>
      </c>
      <c r="L60" s="5">
        <v>29451.0</v>
      </c>
      <c r="M60" s="5">
        <v>26384.0</v>
      </c>
      <c r="N60" s="5">
        <v>22755.0</v>
      </c>
      <c r="O60" s="5">
        <v>18474.0</v>
      </c>
      <c r="P60" s="5">
        <v>14798.0</v>
      </c>
      <c r="Q60" s="5">
        <v>10353.0</v>
      </c>
      <c r="R60" s="5">
        <v>7183.0</v>
      </c>
      <c r="S60" s="5">
        <v>4135.0</v>
      </c>
      <c r="T60" s="5">
        <v>4116.0</v>
      </c>
      <c r="U60" s="5">
        <v>271450.0</v>
      </c>
      <c r="V60" s="5">
        <v>30104.0</v>
      </c>
      <c r="W60" s="5">
        <v>31784.0</v>
      </c>
      <c r="X60" s="5">
        <v>31440.0</v>
      </c>
      <c r="Y60" s="5">
        <v>28489.0</v>
      </c>
      <c r="Z60" s="5">
        <v>23696.0</v>
      </c>
      <c r="AA60" s="5">
        <v>20373.0</v>
      </c>
      <c r="AB60" s="5">
        <v>18259.0</v>
      </c>
      <c r="AC60" s="5">
        <v>16906.0</v>
      </c>
      <c r="AD60" s="5">
        <v>15721.0</v>
      </c>
      <c r="AE60" s="5">
        <v>13998.0</v>
      </c>
      <c r="AF60" s="5">
        <v>11991.0</v>
      </c>
      <c r="AG60" s="5">
        <v>9705.0</v>
      </c>
      <c r="AH60" s="5">
        <v>7484.0</v>
      </c>
      <c r="AI60" s="5">
        <v>5016.0</v>
      </c>
      <c r="AJ60" s="5">
        <v>3228.0</v>
      </c>
      <c r="AK60" s="5">
        <v>1783.0</v>
      </c>
      <c r="AL60" s="5">
        <v>1473.0</v>
      </c>
      <c r="AM60" s="5">
        <v>253904.0</v>
      </c>
      <c r="AN60" s="5">
        <v>27932.0</v>
      </c>
      <c r="AO60" s="5">
        <v>29326.0</v>
      </c>
      <c r="AP60" s="5">
        <v>28905.0</v>
      </c>
      <c r="AQ60" s="5">
        <v>27151.0</v>
      </c>
      <c r="AR60" s="5">
        <v>22234.0</v>
      </c>
      <c r="AS60" s="5">
        <v>19206.0</v>
      </c>
      <c r="AT60" s="5">
        <v>16534.0</v>
      </c>
      <c r="AU60" s="5">
        <v>15366.0</v>
      </c>
      <c r="AV60" s="5">
        <v>13730.0</v>
      </c>
      <c r="AW60" s="5">
        <v>12386.0</v>
      </c>
      <c r="AX60" s="5">
        <v>10764.0</v>
      </c>
      <c r="AY60" s="5">
        <v>8769.0</v>
      </c>
      <c r="AZ60" s="5">
        <v>7314.0</v>
      </c>
      <c r="BA60" s="5">
        <v>5337.0</v>
      </c>
      <c r="BB60" s="5">
        <v>3955.0</v>
      </c>
      <c r="BC60" s="5">
        <v>2352.0</v>
      </c>
      <c r="BD60" s="5">
        <v>2643.0</v>
      </c>
      <c r="BE60" s="4"/>
      <c r="BF60" s="4"/>
      <c r="BG60" s="4"/>
      <c r="BH60" s="4"/>
      <c r="BI60" s="4"/>
      <c r="BJ60" s="4"/>
    </row>
    <row r="61">
      <c r="A61" s="5"/>
      <c r="B61" s="5" t="s">
        <v>152</v>
      </c>
      <c r="C61" s="5">
        <v>908339.0</v>
      </c>
      <c r="D61" s="5">
        <v>92542.0</v>
      </c>
      <c r="E61" s="5">
        <v>98134.0</v>
      </c>
      <c r="F61" s="5">
        <v>99792.0</v>
      </c>
      <c r="G61" s="5">
        <v>93587.0</v>
      </c>
      <c r="H61" s="5">
        <v>80329.0</v>
      </c>
      <c r="I61" s="5">
        <v>71267.0</v>
      </c>
      <c r="J61" s="5">
        <v>63044.0</v>
      </c>
      <c r="K61" s="5">
        <v>56834.0</v>
      </c>
      <c r="L61" s="5">
        <v>52588.0</v>
      </c>
      <c r="M61" s="5">
        <v>46407.0</v>
      </c>
      <c r="N61" s="5">
        <v>40892.0</v>
      </c>
      <c r="O61" s="5">
        <v>34286.0</v>
      </c>
      <c r="P61" s="5">
        <v>28696.0</v>
      </c>
      <c r="Q61" s="5">
        <v>20421.0</v>
      </c>
      <c r="R61" s="5">
        <v>13537.0</v>
      </c>
      <c r="S61" s="5">
        <v>7889.0</v>
      </c>
      <c r="T61" s="5">
        <v>8094.0</v>
      </c>
      <c r="U61" s="5">
        <v>460158.0</v>
      </c>
      <c r="V61" s="5">
        <v>47837.0</v>
      </c>
      <c r="W61" s="5">
        <v>51006.0</v>
      </c>
      <c r="X61" s="5">
        <v>51320.0</v>
      </c>
      <c r="Y61" s="5">
        <v>47907.0</v>
      </c>
      <c r="Z61" s="5">
        <v>41077.0</v>
      </c>
      <c r="AA61" s="5">
        <v>36229.0</v>
      </c>
      <c r="AB61" s="5">
        <v>31977.0</v>
      </c>
      <c r="AC61" s="5">
        <v>29174.0</v>
      </c>
      <c r="AD61" s="5">
        <v>27143.0</v>
      </c>
      <c r="AE61" s="5">
        <v>23957.0</v>
      </c>
      <c r="AF61" s="5">
        <v>20819.0</v>
      </c>
      <c r="AG61" s="5">
        <v>17210.0</v>
      </c>
      <c r="AH61" s="5">
        <v>13913.0</v>
      </c>
      <c r="AI61" s="5">
        <v>9539.0</v>
      </c>
      <c r="AJ61" s="5">
        <v>5654.0</v>
      </c>
      <c r="AK61" s="5">
        <v>2938.0</v>
      </c>
      <c r="AL61" s="5">
        <v>2458.0</v>
      </c>
      <c r="AM61" s="5">
        <v>448181.0</v>
      </c>
      <c r="AN61" s="5">
        <v>44705.0</v>
      </c>
      <c r="AO61" s="5">
        <v>47128.0</v>
      </c>
      <c r="AP61" s="5">
        <v>48472.0</v>
      </c>
      <c r="AQ61" s="5">
        <v>45680.0</v>
      </c>
      <c r="AR61" s="5">
        <v>39252.0</v>
      </c>
      <c r="AS61" s="5">
        <v>35038.0</v>
      </c>
      <c r="AT61" s="5">
        <v>31067.0</v>
      </c>
      <c r="AU61" s="5">
        <v>27660.0</v>
      </c>
      <c r="AV61" s="5">
        <v>25445.0</v>
      </c>
      <c r="AW61" s="5">
        <v>22450.0</v>
      </c>
      <c r="AX61" s="5">
        <v>20073.0</v>
      </c>
      <c r="AY61" s="5">
        <v>17076.0</v>
      </c>
      <c r="AZ61" s="5">
        <v>14783.0</v>
      </c>
      <c r="BA61" s="5">
        <v>10882.0</v>
      </c>
      <c r="BB61" s="5">
        <v>7883.0</v>
      </c>
      <c r="BC61" s="5">
        <v>4951.0</v>
      </c>
      <c r="BD61" s="5">
        <v>5636.0</v>
      </c>
      <c r="BE61" s="4"/>
      <c r="BF61" s="4"/>
      <c r="BG61" s="4"/>
      <c r="BH61" s="4"/>
      <c r="BI61" s="4"/>
      <c r="BJ61" s="4"/>
    </row>
    <row r="62">
      <c r="A62" s="5"/>
      <c r="B62" s="5" t="s">
        <v>153</v>
      </c>
      <c r="C62" s="5">
        <v>939594.0</v>
      </c>
      <c r="D62" s="5">
        <v>102336.0</v>
      </c>
      <c r="E62" s="5">
        <v>111262.0</v>
      </c>
      <c r="F62" s="5">
        <v>107516.0</v>
      </c>
      <c r="G62" s="5">
        <v>100101.0</v>
      </c>
      <c r="H62" s="5">
        <v>88696.0</v>
      </c>
      <c r="I62" s="5">
        <v>76815.0</v>
      </c>
      <c r="J62" s="5">
        <v>64916.0</v>
      </c>
      <c r="K62" s="5">
        <v>58187.0</v>
      </c>
      <c r="L62" s="5">
        <v>50501.0</v>
      </c>
      <c r="M62" s="5">
        <v>43763.0</v>
      </c>
      <c r="N62" s="5">
        <v>36541.0</v>
      </c>
      <c r="O62" s="5">
        <v>31006.0</v>
      </c>
      <c r="P62" s="5">
        <v>24605.0</v>
      </c>
      <c r="Q62" s="5">
        <v>17588.0</v>
      </c>
      <c r="R62" s="5">
        <v>11734.0</v>
      </c>
      <c r="S62" s="5">
        <v>7207.0</v>
      </c>
      <c r="T62" s="5">
        <v>6820.0</v>
      </c>
      <c r="U62" s="5">
        <v>488281.0</v>
      </c>
      <c r="V62" s="5">
        <v>52993.0</v>
      </c>
      <c r="W62" s="5">
        <v>57274.0</v>
      </c>
      <c r="X62" s="5">
        <v>55603.0</v>
      </c>
      <c r="Y62" s="5">
        <v>51241.0</v>
      </c>
      <c r="Z62" s="5">
        <v>46137.0</v>
      </c>
      <c r="AA62" s="5">
        <v>39869.0</v>
      </c>
      <c r="AB62" s="5">
        <v>34074.0</v>
      </c>
      <c r="AC62" s="5">
        <v>30962.0</v>
      </c>
      <c r="AD62" s="5">
        <v>27169.0</v>
      </c>
      <c r="AE62" s="5">
        <v>23569.0</v>
      </c>
      <c r="AF62" s="5">
        <v>19552.0</v>
      </c>
      <c r="AG62" s="5">
        <v>16543.0</v>
      </c>
      <c r="AH62" s="5">
        <v>12689.0</v>
      </c>
      <c r="AI62" s="5">
        <v>8887.0</v>
      </c>
      <c r="AJ62" s="5">
        <v>5751.0</v>
      </c>
      <c r="AK62" s="5">
        <v>3299.0</v>
      </c>
      <c r="AL62" s="5">
        <v>2669.0</v>
      </c>
      <c r="AM62" s="5">
        <v>451313.0</v>
      </c>
      <c r="AN62" s="5">
        <v>49343.0</v>
      </c>
      <c r="AO62" s="5">
        <v>53988.0</v>
      </c>
      <c r="AP62" s="5">
        <v>51913.0</v>
      </c>
      <c r="AQ62" s="5">
        <v>48860.0</v>
      </c>
      <c r="AR62" s="5">
        <v>42559.0</v>
      </c>
      <c r="AS62" s="5">
        <v>36946.0</v>
      </c>
      <c r="AT62" s="5">
        <v>30842.0</v>
      </c>
      <c r="AU62" s="5">
        <v>27225.0</v>
      </c>
      <c r="AV62" s="5">
        <v>23332.0</v>
      </c>
      <c r="AW62" s="5">
        <v>20194.0</v>
      </c>
      <c r="AX62" s="5">
        <v>16989.0</v>
      </c>
      <c r="AY62" s="5">
        <v>14463.0</v>
      </c>
      <c r="AZ62" s="5">
        <v>11916.0</v>
      </c>
      <c r="BA62" s="5">
        <v>8701.0</v>
      </c>
      <c r="BB62" s="5">
        <v>5983.0</v>
      </c>
      <c r="BC62" s="5">
        <v>3908.0</v>
      </c>
      <c r="BD62" s="5">
        <v>4151.0</v>
      </c>
      <c r="BE62" s="4"/>
      <c r="BF62" s="4"/>
      <c r="BG62" s="4"/>
      <c r="BH62" s="4"/>
      <c r="BI62" s="4"/>
      <c r="BJ62" s="4"/>
    </row>
    <row r="63">
      <c r="A63" s="5"/>
      <c r="B63" s="5" t="s">
        <v>154</v>
      </c>
      <c r="C63" s="5">
        <v>308985.0</v>
      </c>
      <c r="D63" s="5">
        <v>27809.0</v>
      </c>
      <c r="E63" s="5">
        <v>32183.0</v>
      </c>
      <c r="F63" s="5">
        <v>34631.0</v>
      </c>
      <c r="G63" s="5">
        <v>33756.0</v>
      </c>
      <c r="H63" s="5">
        <v>27664.0</v>
      </c>
      <c r="I63" s="5">
        <v>22025.0</v>
      </c>
      <c r="J63" s="5">
        <v>19480.0</v>
      </c>
      <c r="K63" s="5">
        <v>17595.0</v>
      </c>
      <c r="L63" s="5">
        <v>16142.0</v>
      </c>
      <c r="M63" s="5">
        <v>15594.0</v>
      </c>
      <c r="N63" s="5">
        <v>15001.0</v>
      </c>
      <c r="O63" s="5">
        <v>13298.0</v>
      </c>
      <c r="P63" s="5">
        <v>11216.0</v>
      </c>
      <c r="Q63" s="5">
        <v>7904.0</v>
      </c>
      <c r="R63" s="5">
        <v>5752.0</v>
      </c>
      <c r="S63" s="5">
        <v>4411.0</v>
      </c>
      <c r="T63" s="5">
        <v>4524.0</v>
      </c>
      <c r="U63" s="5">
        <v>156429.0</v>
      </c>
      <c r="V63" s="5">
        <v>14323.0</v>
      </c>
      <c r="W63" s="5">
        <v>16740.0</v>
      </c>
      <c r="X63" s="5">
        <v>18031.0</v>
      </c>
      <c r="Y63" s="5">
        <v>17329.0</v>
      </c>
      <c r="Z63" s="5">
        <v>14568.0</v>
      </c>
      <c r="AA63" s="5">
        <v>11341.0</v>
      </c>
      <c r="AB63" s="5">
        <v>10110.0</v>
      </c>
      <c r="AC63" s="5">
        <v>9054.0</v>
      </c>
      <c r="AD63" s="5">
        <v>8400.0</v>
      </c>
      <c r="AE63" s="5">
        <v>8070.0</v>
      </c>
      <c r="AF63" s="5">
        <v>7652.0</v>
      </c>
      <c r="AG63" s="5">
        <v>6626.0</v>
      </c>
      <c r="AH63" s="5">
        <v>5488.0</v>
      </c>
      <c r="AI63" s="5">
        <v>3538.0</v>
      </c>
      <c r="AJ63" s="5">
        <v>2247.0</v>
      </c>
      <c r="AK63" s="5">
        <v>1641.0</v>
      </c>
      <c r="AL63" s="5">
        <v>1271.0</v>
      </c>
      <c r="AM63" s="5">
        <v>152556.0</v>
      </c>
      <c r="AN63" s="5">
        <v>13486.0</v>
      </c>
      <c r="AO63" s="5">
        <v>15443.0</v>
      </c>
      <c r="AP63" s="5">
        <v>16600.0</v>
      </c>
      <c r="AQ63" s="5">
        <v>16427.0</v>
      </c>
      <c r="AR63" s="5">
        <v>13096.0</v>
      </c>
      <c r="AS63" s="5">
        <v>10684.0</v>
      </c>
      <c r="AT63" s="5">
        <v>9370.0</v>
      </c>
      <c r="AU63" s="5">
        <v>8541.0</v>
      </c>
      <c r="AV63" s="5">
        <v>7742.0</v>
      </c>
      <c r="AW63" s="5">
        <v>7524.0</v>
      </c>
      <c r="AX63" s="5">
        <v>7349.0</v>
      </c>
      <c r="AY63" s="5">
        <v>6672.0</v>
      </c>
      <c r="AZ63" s="5">
        <v>5728.0</v>
      </c>
      <c r="BA63" s="5">
        <v>4366.0</v>
      </c>
      <c r="BB63" s="5">
        <v>3505.0</v>
      </c>
      <c r="BC63" s="5">
        <v>2770.0</v>
      </c>
      <c r="BD63" s="5">
        <v>3253.0</v>
      </c>
      <c r="BE63" s="4"/>
      <c r="BF63" s="4"/>
      <c r="BG63" s="4"/>
      <c r="BH63" s="4"/>
      <c r="BI63" s="4"/>
      <c r="BJ63" s="4"/>
    </row>
    <row r="64">
      <c r="A64" s="5"/>
      <c r="B64" s="5" t="s">
        <v>155</v>
      </c>
      <c r="C64" s="5">
        <v>307079.0</v>
      </c>
      <c r="D64" s="5">
        <v>27859.0</v>
      </c>
      <c r="E64" s="5">
        <v>28766.0</v>
      </c>
      <c r="F64" s="5">
        <v>29568.0</v>
      </c>
      <c r="G64" s="5">
        <v>30916.0</v>
      </c>
      <c r="H64" s="5">
        <v>33370.0</v>
      </c>
      <c r="I64" s="5">
        <v>29310.0</v>
      </c>
      <c r="J64" s="5">
        <v>24362.0</v>
      </c>
      <c r="K64" s="5">
        <v>21545.0</v>
      </c>
      <c r="L64" s="5">
        <v>18629.0</v>
      </c>
      <c r="M64" s="5">
        <v>15645.0</v>
      </c>
      <c r="N64" s="5">
        <v>13395.0</v>
      </c>
      <c r="O64" s="5">
        <v>11224.0</v>
      </c>
      <c r="P64" s="5">
        <v>8900.0</v>
      </c>
      <c r="Q64" s="5">
        <v>6068.0</v>
      </c>
      <c r="R64" s="5">
        <v>3622.0</v>
      </c>
      <c r="S64" s="5">
        <v>1944.0</v>
      </c>
      <c r="T64" s="5">
        <v>1956.0</v>
      </c>
      <c r="U64" s="5">
        <v>156032.0</v>
      </c>
      <c r="V64" s="5">
        <v>14375.0</v>
      </c>
      <c r="W64" s="5">
        <v>14880.0</v>
      </c>
      <c r="X64" s="5">
        <v>15263.0</v>
      </c>
      <c r="Y64" s="5">
        <v>15404.0</v>
      </c>
      <c r="Z64" s="5">
        <v>16434.0</v>
      </c>
      <c r="AA64" s="5">
        <v>14613.0</v>
      </c>
      <c r="AB64" s="5">
        <v>12539.0</v>
      </c>
      <c r="AC64" s="5">
        <v>11127.0</v>
      </c>
      <c r="AD64" s="5">
        <v>9669.0</v>
      </c>
      <c r="AE64" s="5">
        <v>8223.0</v>
      </c>
      <c r="AF64" s="5">
        <v>6856.0</v>
      </c>
      <c r="AG64" s="5">
        <v>5796.0</v>
      </c>
      <c r="AH64" s="5">
        <v>4561.0</v>
      </c>
      <c r="AI64" s="5">
        <v>3031.0</v>
      </c>
      <c r="AJ64" s="5">
        <v>1710.0</v>
      </c>
      <c r="AK64" s="5">
        <v>829.0</v>
      </c>
      <c r="AL64" s="5">
        <v>722.0</v>
      </c>
      <c r="AM64" s="5">
        <v>151047.0</v>
      </c>
      <c r="AN64" s="5">
        <v>13484.0</v>
      </c>
      <c r="AO64" s="5">
        <v>13886.0</v>
      </c>
      <c r="AP64" s="5">
        <v>14305.0</v>
      </c>
      <c r="AQ64" s="5">
        <v>15512.0</v>
      </c>
      <c r="AR64" s="5">
        <v>16936.0</v>
      </c>
      <c r="AS64" s="5">
        <v>14697.0</v>
      </c>
      <c r="AT64" s="5">
        <v>11823.0</v>
      </c>
      <c r="AU64" s="5">
        <v>10418.0</v>
      </c>
      <c r="AV64" s="5">
        <v>8960.0</v>
      </c>
      <c r="AW64" s="5">
        <v>7422.0</v>
      </c>
      <c r="AX64" s="5">
        <v>6539.0</v>
      </c>
      <c r="AY64" s="5">
        <v>5428.0</v>
      </c>
      <c r="AZ64" s="5">
        <v>4339.0</v>
      </c>
      <c r="BA64" s="5">
        <v>3037.0</v>
      </c>
      <c r="BB64" s="5">
        <v>1912.0</v>
      </c>
      <c r="BC64" s="5">
        <v>1115.0</v>
      </c>
      <c r="BD64" s="5">
        <v>1234.0</v>
      </c>
      <c r="BE64" s="4"/>
      <c r="BF64" s="4"/>
      <c r="BG64" s="4"/>
      <c r="BH64" s="4"/>
      <c r="BI64" s="4"/>
      <c r="BJ64" s="4"/>
    </row>
    <row r="65">
      <c r="A65" s="5"/>
      <c r="B65" s="5" t="s">
        <v>156</v>
      </c>
      <c r="C65" s="5">
        <v>6082165.0</v>
      </c>
      <c r="D65" s="5">
        <v>679109.0</v>
      </c>
      <c r="E65" s="5">
        <v>697784.0</v>
      </c>
      <c r="F65" s="5">
        <v>693684.0</v>
      </c>
      <c r="G65" s="5">
        <v>666774.0</v>
      </c>
      <c r="H65" s="5">
        <v>532158.0</v>
      </c>
      <c r="I65" s="5">
        <v>440903.0</v>
      </c>
      <c r="J65" s="5">
        <v>386835.0</v>
      </c>
      <c r="K65" s="5">
        <v>346031.0</v>
      </c>
      <c r="L65" s="5">
        <v>324535.0</v>
      </c>
      <c r="M65" s="5">
        <v>285163.0</v>
      </c>
      <c r="N65" s="5">
        <v>265586.0</v>
      </c>
      <c r="O65" s="5">
        <v>224677.0</v>
      </c>
      <c r="P65" s="5">
        <v>186288.0</v>
      </c>
      <c r="Q65" s="5">
        <v>137019.0</v>
      </c>
      <c r="R65" s="5">
        <v>96271.0</v>
      </c>
      <c r="S65" s="5">
        <v>60914.0</v>
      </c>
      <c r="T65" s="5">
        <v>58434.0</v>
      </c>
      <c r="U65" s="5">
        <v>3088836.0</v>
      </c>
      <c r="V65" s="5">
        <v>351371.0</v>
      </c>
      <c r="W65" s="5">
        <v>363396.0</v>
      </c>
      <c r="X65" s="5">
        <v>359229.0</v>
      </c>
      <c r="Y65" s="5">
        <v>341971.0</v>
      </c>
      <c r="Z65" s="5">
        <v>274097.0</v>
      </c>
      <c r="AA65" s="5">
        <v>226065.0</v>
      </c>
      <c r="AB65" s="5">
        <v>200238.0</v>
      </c>
      <c r="AC65" s="5">
        <v>178712.0</v>
      </c>
      <c r="AD65" s="5">
        <v>166954.0</v>
      </c>
      <c r="AE65" s="5">
        <v>145365.0</v>
      </c>
      <c r="AF65" s="5">
        <v>134136.0</v>
      </c>
      <c r="AG65" s="5">
        <v>112401.0</v>
      </c>
      <c r="AH65" s="5">
        <v>90340.0</v>
      </c>
      <c r="AI65" s="5">
        <v>63197.0</v>
      </c>
      <c r="AJ65" s="5">
        <v>40465.0</v>
      </c>
      <c r="AK65" s="5">
        <v>22912.0</v>
      </c>
      <c r="AL65" s="5">
        <v>17987.0</v>
      </c>
      <c r="AM65" s="5">
        <v>2993329.0</v>
      </c>
      <c r="AN65" s="5">
        <v>327738.0</v>
      </c>
      <c r="AO65" s="5">
        <v>334388.0</v>
      </c>
      <c r="AP65" s="5">
        <v>334455.0</v>
      </c>
      <c r="AQ65" s="5">
        <v>324803.0</v>
      </c>
      <c r="AR65" s="5">
        <v>258061.0</v>
      </c>
      <c r="AS65" s="5">
        <v>214838.0</v>
      </c>
      <c r="AT65" s="5">
        <v>186597.0</v>
      </c>
      <c r="AU65" s="5">
        <v>167319.0</v>
      </c>
      <c r="AV65" s="5">
        <v>157581.0</v>
      </c>
      <c r="AW65" s="5">
        <v>139798.0</v>
      </c>
      <c r="AX65" s="5">
        <v>131450.0</v>
      </c>
      <c r="AY65" s="5">
        <v>112276.0</v>
      </c>
      <c r="AZ65" s="5">
        <v>95948.0</v>
      </c>
      <c r="BA65" s="5">
        <v>73822.0</v>
      </c>
      <c r="BB65" s="5">
        <v>55806.0</v>
      </c>
      <c r="BC65" s="5">
        <v>38002.0</v>
      </c>
      <c r="BD65" s="5">
        <v>40447.0</v>
      </c>
      <c r="BE65" s="4"/>
      <c r="BF65" s="4"/>
      <c r="BG65" s="4"/>
      <c r="BH65" s="4"/>
      <c r="BI65" s="4"/>
      <c r="BJ65" s="4"/>
    </row>
    <row r="66">
      <c r="A66" s="5"/>
      <c r="B66" s="5" t="s">
        <v>157</v>
      </c>
      <c r="C66" s="5">
        <v>1374768.0</v>
      </c>
      <c r="D66" s="5">
        <v>138717.0</v>
      </c>
      <c r="E66" s="5">
        <v>147831.0</v>
      </c>
      <c r="F66" s="5">
        <v>150800.0</v>
      </c>
      <c r="G66" s="5">
        <v>148960.0</v>
      </c>
      <c r="H66" s="5">
        <v>123448.0</v>
      </c>
      <c r="I66" s="5">
        <v>103156.0</v>
      </c>
      <c r="J66" s="5">
        <v>90990.0</v>
      </c>
      <c r="K66" s="5">
        <v>83046.0</v>
      </c>
      <c r="L66" s="5">
        <v>77971.0</v>
      </c>
      <c r="M66" s="5">
        <v>67447.0</v>
      </c>
      <c r="N66" s="5">
        <v>62174.0</v>
      </c>
      <c r="O66" s="5">
        <v>52574.0</v>
      </c>
      <c r="P66" s="5">
        <v>43765.0</v>
      </c>
      <c r="Q66" s="5">
        <v>32606.0</v>
      </c>
      <c r="R66" s="5">
        <v>23555.0</v>
      </c>
      <c r="S66" s="5">
        <v>14146.0</v>
      </c>
      <c r="T66" s="5">
        <v>13582.0</v>
      </c>
      <c r="U66" s="5">
        <v>695486.0</v>
      </c>
      <c r="V66" s="5">
        <v>71841.0</v>
      </c>
      <c r="W66" s="5">
        <v>77227.0</v>
      </c>
      <c r="X66" s="5">
        <v>78150.0</v>
      </c>
      <c r="Y66" s="5">
        <v>76277.0</v>
      </c>
      <c r="Z66" s="5">
        <v>63606.0</v>
      </c>
      <c r="AA66" s="5">
        <v>52795.0</v>
      </c>
      <c r="AB66" s="5">
        <v>46577.0</v>
      </c>
      <c r="AC66" s="5">
        <v>42657.0</v>
      </c>
      <c r="AD66" s="5">
        <v>39959.0</v>
      </c>
      <c r="AE66" s="5">
        <v>34055.0</v>
      </c>
      <c r="AF66" s="5">
        <v>31330.0</v>
      </c>
      <c r="AG66" s="5">
        <v>26155.0</v>
      </c>
      <c r="AH66" s="5">
        <v>20741.0</v>
      </c>
      <c r="AI66" s="5">
        <v>14974.0</v>
      </c>
      <c r="AJ66" s="5">
        <v>9841.0</v>
      </c>
      <c r="AK66" s="5">
        <v>5278.0</v>
      </c>
      <c r="AL66" s="5">
        <v>4023.0</v>
      </c>
      <c r="AM66" s="5">
        <v>679282.0</v>
      </c>
      <c r="AN66" s="5">
        <v>66876.0</v>
      </c>
      <c r="AO66" s="5">
        <v>70604.0</v>
      </c>
      <c r="AP66" s="5">
        <v>72650.0</v>
      </c>
      <c r="AQ66" s="5">
        <v>72683.0</v>
      </c>
      <c r="AR66" s="5">
        <v>59842.0</v>
      </c>
      <c r="AS66" s="5">
        <v>50361.0</v>
      </c>
      <c r="AT66" s="5">
        <v>44413.0</v>
      </c>
      <c r="AU66" s="5">
        <v>40389.0</v>
      </c>
      <c r="AV66" s="5">
        <v>38012.0</v>
      </c>
      <c r="AW66" s="5">
        <v>33392.0</v>
      </c>
      <c r="AX66" s="5">
        <v>30844.0</v>
      </c>
      <c r="AY66" s="5">
        <v>26419.0</v>
      </c>
      <c r="AZ66" s="5">
        <v>23024.0</v>
      </c>
      <c r="BA66" s="5">
        <v>17632.0</v>
      </c>
      <c r="BB66" s="5">
        <v>13714.0</v>
      </c>
      <c r="BC66" s="5">
        <v>8868.0</v>
      </c>
      <c r="BD66" s="5">
        <v>9559.0</v>
      </c>
      <c r="BE66" s="4"/>
      <c r="BF66" s="4"/>
      <c r="BG66" s="4"/>
      <c r="BH66" s="4"/>
      <c r="BI66" s="4"/>
      <c r="BJ66" s="4"/>
    </row>
    <row r="67">
      <c r="A67" s="5"/>
      <c r="B67" s="5" t="s">
        <v>158</v>
      </c>
      <c r="C67" s="5">
        <v>629699.0</v>
      </c>
      <c r="D67" s="5">
        <v>73396.0</v>
      </c>
      <c r="E67" s="5">
        <v>73286.0</v>
      </c>
      <c r="F67" s="5">
        <v>70440.0</v>
      </c>
      <c r="G67" s="5">
        <v>64643.0</v>
      </c>
      <c r="H67" s="5">
        <v>54163.0</v>
      </c>
      <c r="I67" s="5">
        <v>46237.0</v>
      </c>
      <c r="J67" s="5">
        <v>41154.0</v>
      </c>
      <c r="K67" s="5">
        <v>36296.0</v>
      </c>
      <c r="L67" s="5">
        <v>33730.0</v>
      </c>
      <c r="M67" s="5">
        <v>29713.0</v>
      </c>
      <c r="N67" s="5">
        <v>28605.0</v>
      </c>
      <c r="O67" s="5">
        <v>23861.0</v>
      </c>
      <c r="P67" s="5">
        <v>19660.0</v>
      </c>
      <c r="Q67" s="5">
        <v>14073.0</v>
      </c>
      <c r="R67" s="5">
        <v>9409.0</v>
      </c>
      <c r="S67" s="5">
        <v>5747.0</v>
      </c>
      <c r="T67" s="5">
        <v>5286.0</v>
      </c>
      <c r="U67" s="5">
        <v>320396.0</v>
      </c>
      <c r="V67" s="5">
        <v>38031.0</v>
      </c>
      <c r="W67" s="5">
        <v>38155.0</v>
      </c>
      <c r="X67" s="5">
        <v>36279.0</v>
      </c>
      <c r="Y67" s="5">
        <v>33093.0</v>
      </c>
      <c r="Z67" s="5">
        <v>27837.0</v>
      </c>
      <c r="AA67" s="5">
        <v>23612.0</v>
      </c>
      <c r="AB67" s="5">
        <v>21516.0</v>
      </c>
      <c r="AC67" s="5">
        <v>18640.0</v>
      </c>
      <c r="AD67" s="5">
        <v>17375.0</v>
      </c>
      <c r="AE67" s="5">
        <v>15261.0</v>
      </c>
      <c r="AF67" s="5">
        <v>14594.0</v>
      </c>
      <c r="AG67" s="5">
        <v>12099.0</v>
      </c>
      <c r="AH67" s="5">
        <v>9779.0</v>
      </c>
      <c r="AI67" s="5">
        <v>6566.0</v>
      </c>
      <c r="AJ67" s="5">
        <v>3944.0</v>
      </c>
      <c r="AK67" s="5">
        <v>2094.0</v>
      </c>
      <c r="AL67" s="5">
        <v>1521.0</v>
      </c>
      <c r="AM67" s="5">
        <v>309303.0</v>
      </c>
      <c r="AN67" s="5">
        <v>35365.0</v>
      </c>
      <c r="AO67" s="5">
        <v>35131.0</v>
      </c>
      <c r="AP67" s="5">
        <v>34161.0</v>
      </c>
      <c r="AQ67" s="5">
        <v>31550.0</v>
      </c>
      <c r="AR67" s="5">
        <v>26326.0</v>
      </c>
      <c r="AS67" s="5">
        <v>22625.0</v>
      </c>
      <c r="AT67" s="5">
        <v>19638.0</v>
      </c>
      <c r="AU67" s="5">
        <v>17656.0</v>
      </c>
      <c r="AV67" s="5">
        <v>16355.0</v>
      </c>
      <c r="AW67" s="5">
        <v>14452.0</v>
      </c>
      <c r="AX67" s="5">
        <v>14011.0</v>
      </c>
      <c r="AY67" s="5">
        <v>11762.0</v>
      </c>
      <c r="AZ67" s="5">
        <v>9881.0</v>
      </c>
      <c r="BA67" s="5">
        <v>7507.0</v>
      </c>
      <c r="BB67" s="5">
        <v>5465.0</v>
      </c>
      <c r="BC67" s="5">
        <v>3653.0</v>
      </c>
      <c r="BD67" s="5">
        <v>3765.0</v>
      </c>
      <c r="BE67" s="4"/>
      <c r="BF67" s="4"/>
      <c r="BG67" s="4"/>
      <c r="BH67" s="4"/>
      <c r="BI67" s="4"/>
      <c r="BJ67" s="4"/>
    </row>
    <row r="68">
      <c r="A68" s="5"/>
      <c r="B68" s="5" t="s">
        <v>159</v>
      </c>
      <c r="C68" s="5">
        <v>2068244.0</v>
      </c>
      <c r="D68" s="5">
        <v>236648.0</v>
      </c>
      <c r="E68" s="5">
        <v>236166.0</v>
      </c>
      <c r="F68" s="5">
        <v>235547.0</v>
      </c>
      <c r="G68" s="5">
        <v>228743.0</v>
      </c>
      <c r="H68" s="5">
        <v>182003.0</v>
      </c>
      <c r="I68" s="5">
        <v>150523.0</v>
      </c>
      <c r="J68" s="5">
        <v>133978.0</v>
      </c>
      <c r="K68" s="5">
        <v>118622.0</v>
      </c>
      <c r="L68" s="5">
        <v>109984.0</v>
      </c>
      <c r="M68" s="5">
        <v>94656.0</v>
      </c>
      <c r="N68" s="5">
        <v>87448.0</v>
      </c>
      <c r="O68" s="5">
        <v>74754.0</v>
      </c>
      <c r="P68" s="5">
        <v>62385.0</v>
      </c>
      <c r="Q68" s="5">
        <v>46226.0</v>
      </c>
      <c r="R68" s="5">
        <v>32243.0</v>
      </c>
      <c r="S68" s="5">
        <v>19567.0</v>
      </c>
      <c r="T68" s="5">
        <v>18751.0</v>
      </c>
      <c r="U68" s="5">
        <v>1050560.0</v>
      </c>
      <c r="V68" s="5">
        <v>122393.0</v>
      </c>
      <c r="W68" s="5">
        <v>123058.0</v>
      </c>
      <c r="X68" s="5">
        <v>121986.0</v>
      </c>
      <c r="Y68" s="5">
        <v>117312.0</v>
      </c>
      <c r="Z68" s="5">
        <v>93733.0</v>
      </c>
      <c r="AA68" s="5">
        <v>77350.0</v>
      </c>
      <c r="AB68" s="5">
        <v>69429.0</v>
      </c>
      <c r="AC68" s="5">
        <v>61351.0</v>
      </c>
      <c r="AD68" s="5">
        <v>56630.0</v>
      </c>
      <c r="AE68" s="5">
        <v>48070.0</v>
      </c>
      <c r="AF68" s="5">
        <v>44059.0</v>
      </c>
      <c r="AG68" s="5">
        <v>37137.0</v>
      </c>
      <c r="AH68" s="5">
        <v>30039.0</v>
      </c>
      <c r="AI68" s="5">
        <v>21294.0</v>
      </c>
      <c r="AJ68" s="5">
        <v>13510.0</v>
      </c>
      <c r="AK68" s="5">
        <v>7381.0</v>
      </c>
      <c r="AL68" s="5">
        <v>5828.0</v>
      </c>
      <c r="AM68" s="5">
        <v>1017684.0</v>
      </c>
      <c r="AN68" s="5">
        <v>114255.0</v>
      </c>
      <c r="AO68" s="5">
        <v>113108.0</v>
      </c>
      <c r="AP68" s="5">
        <v>113561.0</v>
      </c>
      <c r="AQ68" s="5">
        <v>111431.0</v>
      </c>
      <c r="AR68" s="5">
        <v>88270.0</v>
      </c>
      <c r="AS68" s="5">
        <v>73173.0</v>
      </c>
      <c r="AT68" s="5">
        <v>64549.0</v>
      </c>
      <c r="AU68" s="5">
        <v>57271.0</v>
      </c>
      <c r="AV68" s="5">
        <v>53354.0</v>
      </c>
      <c r="AW68" s="5">
        <v>46586.0</v>
      </c>
      <c r="AX68" s="5">
        <v>43389.0</v>
      </c>
      <c r="AY68" s="5">
        <v>37617.0</v>
      </c>
      <c r="AZ68" s="5">
        <v>32346.0</v>
      </c>
      <c r="BA68" s="5">
        <v>24932.0</v>
      </c>
      <c r="BB68" s="5">
        <v>18733.0</v>
      </c>
      <c r="BC68" s="5">
        <v>12186.0</v>
      </c>
      <c r="BD68" s="5">
        <v>12923.0</v>
      </c>
      <c r="BE68" s="4"/>
      <c r="BF68" s="4"/>
      <c r="BG68" s="4"/>
      <c r="BH68" s="4"/>
      <c r="BI68" s="4"/>
      <c r="BJ68" s="4"/>
    </row>
    <row r="69">
      <c r="A69" s="5"/>
      <c r="B69" s="5" t="s">
        <v>160</v>
      </c>
      <c r="C69" s="5">
        <v>271879.0</v>
      </c>
      <c r="D69" s="5">
        <v>29402.0</v>
      </c>
      <c r="E69" s="5">
        <v>30670.0</v>
      </c>
      <c r="F69" s="5">
        <v>30531.0</v>
      </c>
      <c r="G69" s="5">
        <v>29894.0</v>
      </c>
      <c r="H69" s="5">
        <v>23591.0</v>
      </c>
      <c r="I69" s="5">
        <v>19364.0</v>
      </c>
      <c r="J69" s="5">
        <v>16725.0</v>
      </c>
      <c r="K69" s="5">
        <v>15172.0</v>
      </c>
      <c r="L69" s="5">
        <v>14079.0</v>
      </c>
      <c r="M69" s="5">
        <v>12944.0</v>
      </c>
      <c r="N69" s="5">
        <v>12297.0</v>
      </c>
      <c r="O69" s="5">
        <v>10532.0</v>
      </c>
      <c r="P69" s="5">
        <v>8510.0</v>
      </c>
      <c r="Q69" s="5">
        <v>6367.0</v>
      </c>
      <c r="R69" s="5">
        <v>4634.0</v>
      </c>
      <c r="S69" s="5">
        <v>3407.0</v>
      </c>
      <c r="T69" s="5">
        <v>3760.0</v>
      </c>
      <c r="U69" s="5">
        <v>139170.0</v>
      </c>
      <c r="V69" s="5">
        <v>15278.0</v>
      </c>
      <c r="W69" s="5">
        <v>15849.0</v>
      </c>
      <c r="X69" s="5">
        <v>15853.0</v>
      </c>
      <c r="Y69" s="5">
        <v>15619.0</v>
      </c>
      <c r="Z69" s="5">
        <v>12371.0</v>
      </c>
      <c r="AA69" s="5">
        <v>10099.0</v>
      </c>
      <c r="AB69" s="5">
        <v>8624.0</v>
      </c>
      <c r="AC69" s="5">
        <v>7943.0</v>
      </c>
      <c r="AD69" s="5">
        <v>7268.0</v>
      </c>
      <c r="AE69" s="5">
        <v>6801.0</v>
      </c>
      <c r="AF69" s="5">
        <v>6368.0</v>
      </c>
      <c r="AG69" s="5">
        <v>5434.0</v>
      </c>
      <c r="AH69" s="5">
        <v>4301.0</v>
      </c>
      <c r="AI69" s="5">
        <v>2947.0</v>
      </c>
      <c r="AJ69" s="5">
        <v>1935.0</v>
      </c>
      <c r="AK69" s="5">
        <v>1306.0</v>
      </c>
      <c r="AL69" s="5">
        <v>1174.0</v>
      </c>
      <c r="AM69" s="5">
        <v>132709.0</v>
      </c>
      <c r="AN69" s="5">
        <v>14124.0</v>
      </c>
      <c r="AO69" s="5">
        <v>14821.0</v>
      </c>
      <c r="AP69" s="5">
        <v>14678.0</v>
      </c>
      <c r="AQ69" s="5">
        <v>14275.0</v>
      </c>
      <c r="AR69" s="5">
        <v>11220.0</v>
      </c>
      <c r="AS69" s="5">
        <v>9265.0</v>
      </c>
      <c r="AT69" s="5">
        <v>8101.0</v>
      </c>
      <c r="AU69" s="5">
        <v>7229.0</v>
      </c>
      <c r="AV69" s="5">
        <v>6811.0</v>
      </c>
      <c r="AW69" s="5">
        <v>6143.0</v>
      </c>
      <c r="AX69" s="5">
        <v>5929.0</v>
      </c>
      <c r="AY69" s="5">
        <v>5098.0</v>
      </c>
      <c r="AZ69" s="5">
        <v>4209.0</v>
      </c>
      <c r="BA69" s="5">
        <v>3420.0</v>
      </c>
      <c r="BB69" s="5">
        <v>2699.0</v>
      </c>
      <c r="BC69" s="5">
        <v>2101.0</v>
      </c>
      <c r="BD69" s="5">
        <v>2586.0</v>
      </c>
      <c r="BE69" s="4"/>
      <c r="BF69" s="4"/>
      <c r="BG69" s="4"/>
      <c r="BH69" s="4"/>
      <c r="BI69" s="4"/>
      <c r="BJ69" s="4"/>
    </row>
    <row r="70">
      <c r="A70" s="5"/>
      <c r="B70" s="5" t="s">
        <v>161</v>
      </c>
      <c r="C70" s="5">
        <v>908920.0</v>
      </c>
      <c r="D70" s="5">
        <v>110734.0</v>
      </c>
      <c r="E70" s="5">
        <v>115206.0</v>
      </c>
      <c r="F70" s="5">
        <v>115274.0</v>
      </c>
      <c r="G70" s="5">
        <v>103341.0</v>
      </c>
      <c r="H70" s="5">
        <v>75642.0</v>
      </c>
      <c r="I70" s="5">
        <v>62166.0</v>
      </c>
      <c r="J70" s="5">
        <v>53158.0</v>
      </c>
      <c r="K70" s="5">
        <v>46688.0</v>
      </c>
      <c r="L70" s="5">
        <v>43871.0</v>
      </c>
      <c r="M70" s="5">
        <v>40181.0</v>
      </c>
      <c r="N70" s="5">
        <v>36936.0</v>
      </c>
      <c r="O70" s="5">
        <v>31230.0</v>
      </c>
      <c r="P70" s="5">
        <v>26207.0</v>
      </c>
      <c r="Q70" s="5">
        <v>18936.0</v>
      </c>
      <c r="R70" s="5">
        <v>12595.0</v>
      </c>
      <c r="S70" s="5">
        <v>8655.0</v>
      </c>
      <c r="T70" s="5">
        <v>8100.0</v>
      </c>
      <c r="U70" s="5">
        <v>461204.0</v>
      </c>
      <c r="V70" s="5">
        <v>57016.0</v>
      </c>
      <c r="W70" s="5">
        <v>59462.0</v>
      </c>
      <c r="X70" s="5">
        <v>59292.0</v>
      </c>
      <c r="Y70" s="5">
        <v>52731.0</v>
      </c>
      <c r="Z70" s="5">
        <v>38448.0</v>
      </c>
      <c r="AA70" s="5">
        <v>31588.0</v>
      </c>
      <c r="AB70" s="5">
        <v>27819.0</v>
      </c>
      <c r="AC70" s="5">
        <v>24369.0</v>
      </c>
      <c r="AD70" s="5">
        <v>22658.0</v>
      </c>
      <c r="AE70" s="5">
        <v>20589.0</v>
      </c>
      <c r="AF70" s="5">
        <v>18514.0</v>
      </c>
      <c r="AG70" s="5">
        <v>15666.0</v>
      </c>
      <c r="AH70" s="5">
        <v>12825.0</v>
      </c>
      <c r="AI70" s="5">
        <v>8781.0</v>
      </c>
      <c r="AJ70" s="5">
        <v>5413.0</v>
      </c>
      <c r="AK70" s="5">
        <v>3329.0</v>
      </c>
      <c r="AL70" s="5">
        <v>2704.0</v>
      </c>
      <c r="AM70" s="5">
        <v>447716.0</v>
      </c>
      <c r="AN70" s="5">
        <v>53718.0</v>
      </c>
      <c r="AO70" s="5">
        <v>55744.0</v>
      </c>
      <c r="AP70" s="5">
        <v>55982.0</v>
      </c>
      <c r="AQ70" s="5">
        <v>50610.0</v>
      </c>
      <c r="AR70" s="5">
        <v>37194.0</v>
      </c>
      <c r="AS70" s="5">
        <v>30578.0</v>
      </c>
      <c r="AT70" s="5">
        <v>25339.0</v>
      </c>
      <c r="AU70" s="5">
        <v>22319.0</v>
      </c>
      <c r="AV70" s="5">
        <v>21213.0</v>
      </c>
      <c r="AW70" s="5">
        <v>19592.0</v>
      </c>
      <c r="AX70" s="5">
        <v>18422.0</v>
      </c>
      <c r="AY70" s="5">
        <v>15564.0</v>
      </c>
      <c r="AZ70" s="5">
        <v>13382.0</v>
      </c>
      <c r="BA70" s="5">
        <v>10155.0</v>
      </c>
      <c r="BB70" s="5">
        <v>7182.0</v>
      </c>
      <c r="BC70" s="5">
        <v>5326.0</v>
      </c>
      <c r="BD70" s="5">
        <v>5396.0</v>
      </c>
      <c r="BE70" s="4"/>
      <c r="BF70" s="4"/>
      <c r="BG70" s="4"/>
      <c r="BH70" s="4"/>
      <c r="BI70" s="4"/>
      <c r="BJ70" s="4"/>
    </row>
    <row r="71">
      <c r="A71" s="5"/>
      <c r="B71" s="5" t="s">
        <v>162</v>
      </c>
      <c r="C71" s="5">
        <v>828655.0</v>
      </c>
      <c r="D71" s="5">
        <v>90212.0</v>
      </c>
      <c r="E71" s="5">
        <v>94625.0</v>
      </c>
      <c r="F71" s="5">
        <v>91092.0</v>
      </c>
      <c r="G71" s="5">
        <v>91193.0</v>
      </c>
      <c r="H71" s="5">
        <v>73311.0</v>
      </c>
      <c r="I71" s="5">
        <v>59457.0</v>
      </c>
      <c r="J71" s="5">
        <v>50830.0</v>
      </c>
      <c r="K71" s="5">
        <v>46207.0</v>
      </c>
      <c r="L71" s="5">
        <v>44900.0</v>
      </c>
      <c r="M71" s="5">
        <v>40222.0</v>
      </c>
      <c r="N71" s="5">
        <v>38126.0</v>
      </c>
      <c r="O71" s="5">
        <v>31726.0</v>
      </c>
      <c r="P71" s="5">
        <v>25761.0</v>
      </c>
      <c r="Q71" s="5">
        <v>18811.0</v>
      </c>
      <c r="R71" s="5">
        <v>13835.0</v>
      </c>
      <c r="S71" s="5">
        <v>9392.0</v>
      </c>
      <c r="T71" s="5">
        <v>8955.0</v>
      </c>
      <c r="U71" s="5">
        <v>422020.0</v>
      </c>
      <c r="V71" s="5">
        <v>46812.0</v>
      </c>
      <c r="W71" s="5">
        <v>49645.0</v>
      </c>
      <c r="X71" s="5">
        <v>47669.0</v>
      </c>
      <c r="Y71" s="5">
        <v>46939.0</v>
      </c>
      <c r="Z71" s="5">
        <v>38102.0</v>
      </c>
      <c r="AA71" s="5">
        <v>30621.0</v>
      </c>
      <c r="AB71" s="5">
        <v>26273.0</v>
      </c>
      <c r="AC71" s="5">
        <v>23752.0</v>
      </c>
      <c r="AD71" s="5">
        <v>23064.0</v>
      </c>
      <c r="AE71" s="5">
        <v>20589.0</v>
      </c>
      <c r="AF71" s="5">
        <v>19271.0</v>
      </c>
      <c r="AG71" s="5">
        <v>15910.0</v>
      </c>
      <c r="AH71" s="5">
        <v>12655.0</v>
      </c>
      <c r="AI71" s="5">
        <v>8635.0</v>
      </c>
      <c r="AJ71" s="5">
        <v>5822.0</v>
      </c>
      <c r="AK71" s="5">
        <v>3524.0</v>
      </c>
      <c r="AL71" s="5">
        <v>2737.0</v>
      </c>
      <c r="AM71" s="5">
        <v>406635.0</v>
      </c>
      <c r="AN71" s="5">
        <v>43400.0</v>
      </c>
      <c r="AO71" s="5">
        <v>44980.0</v>
      </c>
      <c r="AP71" s="5">
        <v>43423.0</v>
      </c>
      <c r="AQ71" s="5">
        <v>44254.0</v>
      </c>
      <c r="AR71" s="5">
        <v>35209.0</v>
      </c>
      <c r="AS71" s="5">
        <v>28836.0</v>
      </c>
      <c r="AT71" s="5">
        <v>24557.0</v>
      </c>
      <c r="AU71" s="5">
        <v>22455.0</v>
      </c>
      <c r="AV71" s="5">
        <v>21836.0</v>
      </c>
      <c r="AW71" s="5">
        <v>19633.0</v>
      </c>
      <c r="AX71" s="5">
        <v>18855.0</v>
      </c>
      <c r="AY71" s="5">
        <v>15816.0</v>
      </c>
      <c r="AZ71" s="5">
        <v>13106.0</v>
      </c>
      <c r="BA71" s="5">
        <v>10176.0</v>
      </c>
      <c r="BB71" s="5">
        <v>8013.0</v>
      </c>
      <c r="BC71" s="5">
        <v>5868.0</v>
      </c>
      <c r="BD71" s="5">
        <v>6218.0</v>
      </c>
      <c r="BE71" s="4"/>
      <c r="BF71" s="4"/>
      <c r="BG71" s="4"/>
      <c r="BH71" s="4"/>
      <c r="BI71" s="4"/>
      <c r="BJ71" s="4"/>
    </row>
    <row r="72">
      <c r="A72" s="5"/>
      <c r="B72" s="5" t="s">
        <v>163</v>
      </c>
      <c r="C72" s="5">
        <v>7954723.0</v>
      </c>
      <c r="D72" s="5">
        <v>761806.0</v>
      </c>
      <c r="E72" s="5">
        <v>790372.0</v>
      </c>
      <c r="F72" s="5">
        <v>793261.0</v>
      </c>
      <c r="G72" s="5">
        <v>761645.0</v>
      </c>
      <c r="H72" s="5">
        <v>700913.0</v>
      </c>
      <c r="I72" s="5">
        <v>639126.0</v>
      </c>
      <c r="J72" s="5">
        <v>573066.0</v>
      </c>
      <c r="K72" s="5">
        <v>509944.0</v>
      </c>
      <c r="L72" s="5">
        <v>462327.0</v>
      </c>
      <c r="M72" s="5">
        <v>409438.0</v>
      </c>
      <c r="N72" s="5">
        <v>379102.0</v>
      </c>
      <c r="O72" s="5">
        <v>334935.0</v>
      </c>
      <c r="P72" s="5">
        <v>282522.0</v>
      </c>
      <c r="Q72" s="5">
        <v>211970.0</v>
      </c>
      <c r="R72" s="5">
        <v>142916.0</v>
      </c>
      <c r="S72" s="5">
        <v>95852.0</v>
      </c>
      <c r="T72" s="5">
        <v>105528.0</v>
      </c>
      <c r="U72" s="5">
        <v>4044494.0</v>
      </c>
      <c r="V72" s="5">
        <v>392985.0</v>
      </c>
      <c r="W72" s="5">
        <v>410788.0</v>
      </c>
      <c r="X72" s="5">
        <v>410587.0</v>
      </c>
      <c r="Y72" s="5">
        <v>390958.0</v>
      </c>
      <c r="Z72" s="5">
        <v>361141.0</v>
      </c>
      <c r="AA72" s="5">
        <v>330789.0</v>
      </c>
      <c r="AB72" s="5">
        <v>300885.0</v>
      </c>
      <c r="AC72" s="5">
        <v>268427.0</v>
      </c>
      <c r="AD72" s="5">
        <v>243520.0</v>
      </c>
      <c r="AE72" s="5">
        <v>211702.0</v>
      </c>
      <c r="AF72" s="5">
        <v>191952.0</v>
      </c>
      <c r="AG72" s="5">
        <v>167068.0</v>
      </c>
      <c r="AH72" s="5">
        <v>135565.0</v>
      </c>
      <c r="AI72" s="5">
        <v>97677.0</v>
      </c>
      <c r="AJ72" s="5">
        <v>60621.0</v>
      </c>
      <c r="AK72" s="5">
        <v>36503.0</v>
      </c>
      <c r="AL72" s="5">
        <v>33326.0</v>
      </c>
      <c r="AM72" s="5">
        <v>3910229.0</v>
      </c>
      <c r="AN72" s="5">
        <v>368821.0</v>
      </c>
      <c r="AO72" s="5">
        <v>379584.0</v>
      </c>
      <c r="AP72" s="5">
        <v>382674.0</v>
      </c>
      <c r="AQ72" s="5">
        <v>370687.0</v>
      </c>
      <c r="AR72" s="5">
        <v>339772.0</v>
      </c>
      <c r="AS72" s="5">
        <v>308337.0</v>
      </c>
      <c r="AT72" s="5">
        <v>272181.0</v>
      </c>
      <c r="AU72" s="5">
        <v>241517.0</v>
      </c>
      <c r="AV72" s="5">
        <v>218807.0</v>
      </c>
      <c r="AW72" s="5">
        <v>197736.0</v>
      </c>
      <c r="AX72" s="5">
        <v>187150.0</v>
      </c>
      <c r="AY72" s="5">
        <v>167867.0</v>
      </c>
      <c r="AZ72" s="5">
        <v>146957.0</v>
      </c>
      <c r="BA72" s="5">
        <v>114293.0</v>
      </c>
      <c r="BB72" s="5">
        <v>82295.0</v>
      </c>
      <c r="BC72" s="5">
        <v>59349.0</v>
      </c>
      <c r="BD72" s="5">
        <v>72202.0</v>
      </c>
      <c r="BE72" s="4"/>
      <c r="BF72" s="4"/>
      <c r="BG72" s="4"/>
      <c r="BH72" s="4"/>
      <c r="BI72" s="4"/>
      <c r="BJ72" s="4"/>
    </row>
    <row r="73">
      <c r="A73" s="5"/>
      <c r="B73" s="5" t="s">
        <v>164</v>
      </c>
      <c r="C73" s="5">
        <v>615475.0</v>
      </c>
      <c r="D73" s="5">
        <v>56737.0</v>
      </c>
      <c r="E73" s="5">
        <v>59041.0</v>
      </c>
      <c r="F73" s="5">
        <v>61256.0</v>
      </c>
      <c r="G73" s="5">
        <v>57788.0</v>
      </c>
      <c r="H73" s="5">
        <v>55863.0</v>
      </c>
      <c r="I73" s="5">
        <v>51370.0</v>
      </c>
      <c r="J73" s="5">
        <v>45929.0</v>
      </c>
      <c r="K73" s="5">
        <v>40979.0</v>
      </c>
      <c r="L73" s="5">
        <v>36285.0</v>
      </c>
      <c r="M73" s="5">
        <v>30852.0</v>
      </c>
      <c r="N73" s="5">
        <v>28543.0</v>
      </c>
      <c r="O73" s="5">
        <v>24703.0</v>
      </c>
      <c r="P73" s="5">
        <v>21047.0</v>
      </c>
      <c r="Q73" s="5">
        <v>16195.0</v>
      </c>
      <c r="R73" s="5">
        <v>11787.0</v>
      </c>
      <c r="S73" s="5">
        <v>8090.0</v>
      </c>
      <c r="T73" s="5">
        <v>9010.0</v>
      </c>
      <c r="U73" s="5">
        <v>313737.0</v>
      </c>
      <c r="V73" s="5">
        <v>29279.0</v>
      </c>
      <c r="W73" s="5">
        <v>30735.0</v>
      </c>
      <c r="X73" s="5">
        <v>31777.0</v>
      </c>
      <c r="Y73" s="5">
        <v>29772.0</v>
      </c>
      <c r="Z73" s="5">
        <v>29097.0</v>
      </c>
      <c r="AA73" s="5">
        <v>26805.0</v>
      </c>
      <c r="AB73" s="5">
        <v>24133.0</v>
      </c>
      <c r="AC73" s="5">
        <v>21623.0</v>
      </c>
      <c r="AD73" s="5">
        <v>19253.0</v>
      </c>
      <c r="AE73" s="5">
        <v>16157.0</v>
      </c>
      <c r="AF73" s="5">
        <v>14626.0</v>
      </c>
      <c r="AG73" s="5">
        <v>12374.0</v>
      </c>
      <c r="AH73" s="5">
        <v>10114.0</v>
      </c>
      <c r="AI73" s="5">
        <v>7571.0</v>
      </c>
      <c r="AJ73" s="5">
        <v>4876.0</v>
      </c>
      <c r="AK73" s="5">
        <v>2995.0</v>
      </c>
      <c r="AL73" s="5">
        <v>2550.0</v>
      </c>
      <c r="AM73" s="5">
        <v>301738.0</v>
      </c>
      <c r="AN73" s="5">
        <v>27458.0</v>
      </c>
      <c r="AO73" s="5">
        <v>28306.0</v>
      </c>
      <c r="AP73" s="5">
        <v>29479.0</v>
      </c>
      <c r="AQ73" s="5">
        <v>28016.0</v>
      </c>
      <c r="AR73" s="5">
        <v>26766.0</v>
      </c>
      <c r="AS73" s="5">
        <v>24565.0</v>
      </c>
      <c r="AT73" s="5">
        <v>21796.0</v>
      </c>
      <c r="AU73" s="5">
        <v>19356.0</v>
      </c>
      <c r="AV73" s="5">
        <v>17032.0</v>
      </c>
      <c r="AW73" s="5">
        <v>14695.0</v>
      </c>
      <c r="AX73" s="5">
        <v>13917.0</v>
      </c>
      <c r="AY73" s="5">
        <v>12329.0</v>
      </c>
      <c r="AZ73" s="5">
        <v>10933.0</v>
      </c>
      <c r="BA73" s="5">
        <v>8624.0</v>
      </c>
      <c r="BB73" s="5">
        <v>6911.0</v>
      </c>
      <c r="BC73" s="5">
        <v>5095.0</v>
      </c>
      <c r="BD73" s="5">
        <v>6460.0</v>
      </c>
      <c r="BE73" s="4"/>
      <c r="BF73" s="4"/>
      <c r="BG73" s="4"/>
      <c r="BH73" s="4"/>
      <c r="BI73" s="4"/>
      <c r="BJ73" s="4"/>
    </row>
    <row r="74">
      <c r="A74" s="5"/>
      <c r="B74" s="5" t="s">
        <v>165</v>
      </c>
      <c r="C74" s="5">
        <v>612974.0</v>
      </c>
      <c r="D74" s="5">
        <v>61990.0</v>
      </c>
      <c r="E74" s="5">
        <v>62365.0</v>
      </c>
      <c r="F74" s="5">
        <v>61725.0</v>
      </c>
      <c r="G74" s="5">
        <v>60883.0</v>
      </c>
      <c r="H74" s="5">
        <v>54053.0</v>
      </c>
      <c r="I74" s="5">
        <v>47073.0</v>
      </c>
      <c r="J74" s="5">
        <v>42395.0</v>
      </c>
      <c r="K74" s="5">
        <v>37522.0</v>
      </c>
      <c r="L74" s="5">
        <v>34291.0</v>
      </c>
      <c r="M74" s="5">
        <v>30581.0</v>
      </c>
      <c r="N74" s="5">
        <v>28328.0</v>
      </c>
      <c r="O74" s="5">
        <v>25474.0</v>
      </c>
      <c r="P74" s="5">
        <v>21500.0</v>
      </c>
      <c r="Q74" s="5">
        <v>16004.0</v>
      </c>
      <c r="R74" s="5">
        <v>11327.0</v>
      </c>
      <c r="S74" s="5">
        <v>8170.0</v>
      </c>
      <c r="T74" s="5">
        <v>9293.0</v>
      </c>
      <c r="U74" s="5">
        <v>312800.0</v>
      </c>
      <c r="V74" s="5">
        <v>31990.0</v>
      </c>
      <c r="W74" s="5">
        <v>32311.0</v>
      </c>
      <c r="X74" s="5">
        <v>31969.0</v>
      </c>
      <c r="Y74" s="5">
        <v>31421.0</v>
      </c>
      <c r="Z74" s="5">
        <v>28159.0</v>
      </c>
      <c r="AA74" s="5">
        <v>24733.0</v>
      </c>
      <c r="AB74" s="5">
        <v>22367.0</v>
      </c>
      <c r="AC74" s="5">
        <v>19890.0</v>
      </c>
      <c r="AD74" s="5">
        <v>18253.0</v>
      </c>
      <c r="AE74" s="5">
        <v>16059.0</v>
      </c>
      <c r="AF74" s="5">
        <v>14286.0</v>
      </c>
      <c r="AG74" s="5">
        <v>12697.0</v>
      </c>
      <c r="AH74" s="5">
        <v>10419.0</v>
      </c>
      <c r="AI74" s="5">
        <v>7367.0</v>
      </c>
      <c r="AJ74" s="5">
        <v>4764.0</v>
      </c>
      <c r="AK74" s="5">
        <v>3146.0</v>
      </c>
      <c r="AL74" s="5">
        <v>2969.0</v>
      </c>
      <c r="AM74" s="5">
        <v>300174.0</v>
      </c>
      <c r="AN74" s="5">
        <v>30000.0</v>
      </c>
      <c r="AO74" s="5">
        <v>30054.0</v>
      </c>
      <c r="AP74" s="5">
        <v>29756.0</v>
      </c>
      <c r="AQ74" s="5">
        <v>29462.0</v>
      </c>
      <c r="AR74" s="5">
        <v>25894.0</v>
      </c>
      <c r="AS74" s="5">
        <v>22340.0</v>
      </c>
      <c r="AT74" s="5">
        <v>20028.0</v>
      </c>
      <c r="AU74" s="5">
        <v>17632.0</v>
      </c>
      <c r="AV74" s="5">
        <v>16038.0</v>
      </c>
      <c r="AW74" s="5">
        <v>14522.0</v>
      </c>
      <c r="AX74" s="5">
        <v>14042.0</v>
      </c>
      <c r="AY74" s="5">
        <v>12777.0</v>
      </c>
      <c r="AZ74" s="5">
        <v>11081.0</v>
      </c>
      <c r="BA74" s="5">
        <v>8637.0</v>
      </c>
      <c r="BB74" s="5">
        <v>6563.0</v>
      </c>
      <c r="BC74" s="5">
        <v>5024.0</v>
      </c>
      <c r="BD74" s="5">
        <v>6324.0</v>
      </c>
      <c r="BE74" s="4"/>
      <c r="BF74" s="4"/>
      <c r="BG74" s="4"/>
      <c r="BH74" s="4"/>
      <c r="BI74" s="4"/>
      <c r="BJ74" s="4"/>
    </row>
    <row r="75">
      <c r="A75" s="5"/>
      <c r="B75" s="5" t="s">
        <v>166</v>
      </c>
      <c r="C75" s="5">
        <v>804952.0</v>
      </c>
      <c r="D75" s="5">
        <v>73919.0</v>
      </c>
      <c r="E75" s="5">
        <v>74996.0</v>
      </c>
      <c r="F75" s="5">
        <v>76939.0</v>
      </c>
      <c r="G75" s="5">
        <v>77732.0</v>
      </c>
      <c r="H75" s="5">
        <v>74176.0</v>
      </c>
      <c r="I75" s="5">
        <v>65867.0</v>
      </c>
      <c r="J75" s="5">
        <v>57268.0</v>
      </c>
      <c r="K75" s="5">
        <v>51203.0</v>
      </c>
      <c r="L75" s="5">
        <v>47290.0</v>
      </c>
      <c r="M75" s="5">
        <v>41706.0</v>
      </c>
      <c r="N75" s="5">
        <v>39415.0</v>
      </c>
      <c r="O75" s="5">
        <v>34954.0</v>
      </c>
      <c r="P75" s="5">
        <v>29719.0</v>
      </c>
      <c r="Q75" s="5">
        <v>22658.0</v>
      </c>
      <c r="R75" s="5">
        <v>15169.0</v>
      </c>
      <c r="S75" s="5">
        <v>10418.0</v>
      </c>
      <c r="T75" s="5">
        <v>11523.0</v>
      </c>
      <c r="U75" s="5">
        <v>409071.0</v>
      </c>
      <c r="V75" s="5">
        <v>38058.0</v>
      </c>
      <c r="W75" s="5">
        <v>38800.0</v>
      </c>
      <c r="X75" s="5">
        <v>40064.0</v>
      </c>
      <c r="Y75" s="5">
        <v>39759.0</v>
      </c>
      <c r="Z75" s="5">
        <v>38122.0</v>
      </c>
      <c r="AA75" s="5">
        <v>34111.0</v>
      </c>
      <c r="AB75" s="5">
        <v>30239.0</v>
      </c>
      <c r="AC75" s="5">
        <v>27085.0</v>
      </c>
      <c r="AD75" s="5">
        <v>25031.0</v>
      </c>
      <c r="AE75" s="5">
        <v>21815.0</v>
      </c>
      <c r="AF75" s="5">
        <v>19952.0</v>
      </c>
      <c r="AG75" s="5">
        <v>17575.0</v>
      </c>
      <c r="AH75" s="5">
        <v>14260.0</v>
      </c>
      <c r="AI75" s="5">
        <v>10374.0</v>
      </c>
      <c r="AJ75" s="5">
        <v>6400.0</v>
      </c>
      <c r="AK75" s="5">
        <v>3927.0</v>
      </c>
      <c r="AL75" s="5">
        <v>3499.0</v>
      </c>
      <c r="AM75" s="5">
        <v>395881.0</v>
      </c>
      <c r="AN75" s="5">
        <v>35861.0</v>
      </c>
      <c r="AO75" s="5">
        <v>36196.0</v>
      </c>
      <c r="AP75" s="5">
        <v>36875.0</v>
      </c>
      <c r="AQ75" s="5">
        <v>37973.0</v>
      </c>
      <c r="AR75" s="5">
        <v>36054.0</v>
      </c>
      <c r="AS75" s="5">
        <v>31756.0</v>
      </c>
      <c r="AT75" s="5">
        <v>27029.0</v>
      </c>
      <c r="AU75" s="5">
        <v>24118.0</v>
      </c>
      <c r="AV75" s="5">
        <v>22259.0</v>
      </c>
      <c r="AW75" s="5">
        <v>19891.0</v>
      </c>
      <c r="AX75" s="5">
        <v>19463.0</v>
      </c>
      <c r="AY75" s="5">
        <v>17379.0</v>
      </c>
      <c r="AZ75" s="5">
        <v>15459.0</v>
      </c>
      <c r="BA75" s="5">
        <v>12284.0</v>
      </c>
      <c r="BB75" s="5">
        <v>8769.0</v>
      </c>
      <c r="BC75" s="5">
        <v>6491.0</v>
      </c>
      <c r="BD75" s="5">
        <v>8024.0</v>
      </c>
      <c r="BE75" s="4"/>
      <c r="BF75" s="4"/>
      <c r="BG75" s="4"/>
      <c r="BH75" s="4"/>
      <c r="BI75" s="4"/>
      <c r="BJ75" s="4"/>
    </row>
    <row r="76">
      <c r="A76" s="5"/>
      <c r="B76" s="5" t="s">
        <v>167</v>
      </c>
      <c r="C76" s="5">
        <v>187842.0</v>
      </c>
      <c r="D76" s="5">
        <v>17749.0</v>
      </c>
      <c r="E76" s="5">
        <v>18194.0</v>
      </c>
      <c r="F76" s="5">
        <v>17816.0</v>
      </c>
      <c r="G76" s="5">
        <v>16950.0</v>
      </c>
      <c r="H76" s="5">
        <v>16042.0</v>
      </c>
      <c r="I76" s="5">
        <v>15145.0</v>
      </c>
      <c r="J76" s="5">
        <v>14190.0</v>
      </c>
      <c r="K76" s="5">
        <v>12862.0</v>
      </c>
      <c r="L76" s="5">
        <v>11251.0</v>
      </c>
      <c r="M76" s="5">
        <v>9985.0</v>
      </c>
      <c r="N76" s="5">
        <v>8876.0</v>
      </c>
      <c r="O76" s="5">
        <v>8093.0</v>
      </c>
      <c r="P76" s="5">
        <v>6930.0</v>
      </c>
      <c r="Q76" s="5">
        <v>5104.0</v>
      </c>
      <c r="R76" s="5">
        <v>3510.0</v>
      </c>
      <c r="S76" s="5">
        <v>2316.0</v>
      </c>
      <c r="T76" s="5">
        <v>2829.0</v>
      </c>
      <c r="U76" s="5">
        <v>96392.0</v>
      </c>
      <c r="V76" s="5">
        <v>9177.0</v>
      </c>
      <c r="W76" s="5">
        <v>9437.0</v>
      </c>
      <c r="X76" s="5">
        <v>9145.0</v>
      </c>
      <c r="Y76" s="5">
        <v>8722.0</v>
      </c>
      <c r="Z76" s="5">
        <v>8452.0</v>
      </c>
      <c r="AA76" s="5">
        <v>7732.0</v>
      </c>
      <c r="AB76" s="5">
        <v>7370.0</v>
      </c>
      <c r="AC76" s="5">
        <v>6828.0</v>
      </c>
      <c r="AD76" s="5">
        <v>6098.0</v>
      </c>
      <c r="AE76" s="5">
        <v>5210.0</v>
      </c>
      <c r="AF76" s="5">
        <v>4598.0</v>
      </c>
      <c r="AG76" s="5">
        <v>4107.0</v>
      </c>
      <c r="AH76" s="5">
        <v>3492.0</v>
      </c>
      <c r="AI76" s="5">
        <v>2514.0</v>
      </c>
      <c r="AJ76" s="5">
        <v>1579.0</v>
      </c>
      <c r="AK76" s="5">
        <v>965.0</v>
      </c>
      <c r="AL76" s="5">
        <v>966.0</v>
      </c>
      <c r="AM76" s="5">
        <v>91450.0</v>
      </c>
      <c r="AN76" s="5">
        <v>8572.0</v>
      </c>
      <c r="AO76" s="5">
        <v>8757.0</v>
      </c>
      <c r="AP76" s="5">
        <v>8671.0</v>
      </c>
      <c r="AQ76" s="5">
        <v>8228.0</v>
      </c>
      <c r="AR76" s="5">
        <v>7590.0</v>
      </c>
      <c r="AS76" s="5">
        <v>7413.0</v>
      </c>
      <c r="AT76" s="5">
        <v>6820.0</v>
      </c>
      <c r="AU76" s="5">
        <v>6034.0</v>
      </c>
      <c r="AV76" s="5">
        <v>5153.0</v>
      </c>
      <c r="AW76" s="5">
        <v>4775.0</v>
      </c>
      <c r="AX76" s="5">
        <v>4278.0</v>
      </c>
      <c r="AY76" s="5">
        <v>3986.0</v>
      </c>
      <c r="AZ76" s="5">
        <v>3438.0</v>
      </c>
      <c r="BA76" s="5">
        <v>2590.0</v>
      </c>
      <c r="BB76" s="5">
        <v>1931.0</v>
      </c>
      <c r="BC76" s="5">
        <v>1351.0</v>
      </c>
      <c r="BD76" s="5">
        <v>1863.0</v>
      </c>
      <c r="BE76" s="4"/>
      <c r="BF76" s="4"/>
      <c r="BG76" s="4"/>
      <c r="BH76" s="4"/>
      <c r="BI76" s="4"/>
      <c r="BJ76" s="4"/>
    </row>
    <row r="77">
      <c r="A77" s="5"/>
      <c r="B77" s="5" t="s">
        <v>168</v>
      </c>
      <c r="C77" s="5">
        <v>2051899.0</v>
      </c>
      <c r="D77" s="5">
        <v>186693.0</v>
      </c>
      <c r="E77" s="5">
        <v>198416.0</v>
      </c>
      <c r="F77" s="5">
        <v>201440.0</v>
      </c>
      <c r="G77" s="5">
        <v>193963.0</v>
      </c>
      <c r="H77" s="5">
        <v>177522.0</v>
      </c>
      <c r="I77" s="5">
        <v>161889.0</v>
      </c>
      <c r="J77" s="5">
        <v>150293.0</v>
      </c>
      <c r="K77" s="5">
        <v>133984.0</v>
      </c>
      <c r="L77" s="5">
        <v>121463.0</v>
      </c>
      <c r="M77" s="5">
        <v>106328.0</v>
      </c>
      <c r="N77" s="5">
        <v>99177.0</v>
      </c>
      <c r="O77" s="5">
        <v>87662.0</v>
      </c>
      <c r="P77" s="5">
        <v>74585.0</v>
      </c>
      <c r="Q77" s="5">
        <v>57165.0</v>
      </c>
      <c r="R77" s="5">
        <v>40889.0</v>
      </c>
      <c r="S77" s="5">
        <v>27771.0</v>
      </c>
      <c r="T77" s="5">
        <v>32659.0</v>
      </c>
      <c r="U77" s="5">
        <v>1045319.0</v>
      </c>
      <c r="V77" s="5">
        <v>96372.0</v>
      </c>
      <c r="W77" s="5">
        <v>103467.0</v>
      </c>
      <c r="X77" s="5">
        <v>104387.0</v>
      </c>
      <c r="Y77" s="5">
        <v>100250.0</v>
      </c>
      <c r="Z77" s="5">
        <v>91843.0</v>
      </c>
      <c r="AA77" s="5">
        <v>84328.0</v>
      </c>
      <c r="AB77" s="5">
        <v>78900.0</v>
      </c>
      <c r="AC77" s="5">
        <v>70442.0</v>
      </c>
      <c r="AD77" s="5">
        <v>64261.0</v>
      </c>
      <c r="AE77" s="5">
        <v>55313.0</v>
      </c>
      <c r="AF77" s="5">
        <v>50644.0</v>
      </c>
      <c r="AG77" s="5">
        <v>44041.0</v>
      </c>
      <c r="AH77" s="5">
        <v>36178.0</v>
      </c>
      <c r="AI77" s="5">
        <v>26426.0</v>
      </c>
      <c r="AJ77" s="5">
        <v>17288.0</v>
      </c>
      <c r="AK77" s="5">
        <v>10698.0</v>
      </c>
      <c r="AL77" s="5">
        <v>10481.0</v>
      </c>
      <c r="AM77" s="5">
        <v>1006580.0</v>
      </c>
      <c r="AN77" s="5">
        <v>90321.0</v>
      </c>
      <c r="AO77" s="5">
        <v>94949.0</v>
      </c>
      <c r="AP77" s="5">
        <v>97053.0</v>
      </c>
      <c r="AQ77" s="5">
        <v>93713.0</v>
      </c>
      <c r="AR77" s="5">
        <v>85679.0</v>
      </c>
      <c r="AS77" s="5">
        <v>77561.0</v>
      </c>
      <c r="AT77" s="5">
        <v>71393.0</v>
      </c>
      <c r="AU77" s="5">
        <v>63542.0</v>
      </c>
      <c r="AV77" s="5">
        <v>57202.0</v>
      </c>
      <c r="AW77" s="5">
        <v>51015.0</v>
      </c>
      <c r="AX77" s="5">
        <v>48533.0</v>
      </c>
      <c r="AY77" s="5">
        <v>43621.0</v>
      </c>
      <c r="AZ77" s="5">
        <v>38407.0</v>
      </c>
      <c r="BA77" s="5">
        <v>30739.0</v>
      </c>
      <c r="BB77" s="5">
        <v>23601.0</v>
      </c>
      <c r="BC77" s="5">
        <v>17073.0</v>
      </c>
      <c r="BD77" s="5">
        <v>22178.0</v>
      </c>
      <c r="BE77" s="4"/>
      <c r="BF77" s="4"/>
      <c r="BG77" s="4"/>
      <c r="BH77" s="4"/>
      <c r="BI77" s="4"/>
      <c r="BJ77" s="4"/>
    </row>
    <row r="78">
      <c r="A78" s="5"/>
      <c r="B78" s="5" t="s">
        <v>169</v>
      </c>
      <c r="C78" s="5">
        <v>2623172.0</v>
      </c>
      <c r="D78" s="5">
        <v>265663.0</v>
      </c>
      <c r="E78" s="5">
        <v>279559.0</v>
      </c>
      <c r="F78" s="5">
        <v>278048.0</v>
      </c>
      <c r="G78" s="5">
        <v>260285.0</v>
      </c>
      <c r="H78" s="5">
        <v>224887.0</v>
      </c>
      <c r="I78" s="5">
        <v>207217.0</v>
      </c>
      <c r="J78" s="5">
        <v>182196.0</v>
      </c>
      <c r="K78" s="5">
        <v>160118.0</v>
      </c>
      <c r="L78" s="5">
        <v>145609.0</v>
      </c>
      <c r="M78" s="5">
        <v>133160.0</v>
      </c>
      <c r="N78" s="5">
        <v>122696.0</v>
      </c>
      <c r="O78" s="5">
        <v>109135.0</v>
      </c>
      <c r="P78" s="5">
        <v>90390.0</v>
      </c>
      <c r="Q78" s="5">
        <v>66343.0</v>
      </c>
      <c r="R78" s="5">
        <v>41605.0</v>
      </c>
      <c r="S78" s="5">
        <v>28057.0</v>
      </c>
      <c r="T78" s="5">
        <v>28204.0</v>
      </c>
      <c r="U78" s="5">
        <v>1341528.0</v>
      </c>
      <c r="V78" s="5">
        <v>137183.0</v>
      </c>
      <c r="W78" s="5">
        <v>145284.0</v>
      </c>
      <c r="X78" s="5">
        <v>143701.0</v>
      </c>
      <c r="Y78" s="5">
        <v>133776.0</v>
      </c>
      <c r="Z78" s="5">
        <v>116279.0</v>
      </c>
      <c r="AA78" s="5">
        <v>107308.0</v>
      </c>
      <c r="AB78" s="5">
        <v>96448.0</v>
      </c>
      <c r="AC78" s="5">
        <v>85142.0</v>
      </c>
      <c r="AD78" s="5">
        <v>77041.0</v>
      </c>
      <c r="AE78" s="5">
        <v>68600.0</v>
      </c>
      <c r="AF78" s="5">
        <v>62495.0</v>
      </c>
      <c r="AG78" s="5">
        <v>54866.0</v>
      </c>
      <c r="AH78" s="5">
        <v>43801.0</v>
      </c>
      <c r="AI78" s="5">
        <v>31090.0</v>
      </c>
      <c r="AJ78" s="5">
        <v>18194.0</v>
      </c>
      <c r="AK78" s="5">
        <v>10864.0</v>
      </c>
      <c r="AL78" s="5">
        <v>9456.0</v>
      </c>
      <c r="AM78" s="5">
        <v>1281644.0</v>
      </c>
      <c r="AN78" s="5">
        <v>128480.0</v>
      </c>
      <c r="AO78" s="5">
        <v>134275.0</v>
      </c>
      <c r="AP78" s="5">
        <v>134347.0</v>
      </c>
      <c r="AQ78" s="5">
        <v>126509.0</v>
      </c>
      <c r="AR78" s="5">
        <v>108608.0</v>
      </c>
      <c r="AS78" s="5">
        <v>99909.0</v>
      </c>
      <c r="AT78" s="5">
        <v>85748.0</v>
      </c>
      <c r="AU78" s="5">
        <v>74976.0</v>
      </c>
      <c r="AV78" s="5">
        <v>68568.0</v>
      </c>
      <c r="AW78" s="5">
        <v>64560.0</v>
      </c>
      <c r="AX78" s="5">
        <v>60201.0</v>
      </c>
      <c r="AY78" s="5">
        <v>54269.0</v>
      </c>
      <c r="AZ78" s="5">
        <v>46589.0</v>
      </c>
      <c r="BA78" s="5">
        <v>35253.0</v>
      </c>
      <c r="BB78" s="5">
        <v>23411.0</v>
      </c>
      <c r="BC78" s="5">
        <v>17193.0</v>
      </c>
      <c r="BD78" s="5">
        <v>18748.0</v>
      </c>
      <c r="BE78" s="4"/>
      <c r="BF78" s="4"/>
      <c r="BG78" s="4"/>
      <c r="BH78" s="4"/>
      <c r="BI78" s="4"/>
      <c r="BJ78" s="4"/>
    </row>
    <row r="79">
      <c r="A79" s="5"/>
      <c r="B79" s="5" t="s">
        <v>170</v>
      </c>
      <c r="C79" s="5">
        <v>600783.0</v>
      </c>
      <c r="D79" s="5">
        <v>54350.0</v>
      </c>
      <c r="E79" s="5">
        <v>55260.0</v>
      </c>
      <c r="F79" s="5">
        <v>55997.0</v>
      </c>
      <c r="G79" s="5">
        <v>55636.0</v>
      </c>
      <c r="H79" s="5">
        <v>55456.0</v>
      </c>
      <c r="I79" s="5">
        <v>50850.0</v>
      </c>
      <c r="J79" s="5">
        <v>45572.0</v>
      </c>
      <c r="K79" s="5">
        <v>41276.0</v>
      </c>
      <c r="L79" s="5">
        <v>37476.0</v>
      </c>
      <c r="M79" s="5">
        <v>32717.0</v>
      </c>
      <c r="N79" s="5">
        <v>29749.0</v>
      </c>
      <c r="O79" s="5">
        <v>25266.0</v>
      </c>
      <c r="P79" s="5">
        <v>21750.0</v>
      </c>
      <c r="Q79" s="5">
        <v>16246.0</v>
      </c>
      <c r="R79" s="5">
        <v>10514.0</v>
      </c>
      <c r="S79" s="5">
        <v>6212.0</v>
      </c>
      <c r="T79" s="5">
        <v>6456.0</v>
      </c>
      <c r="U79" s="5">
        <v>298569.0</v>
      </c>
      <c r="V79" s="5">
        <v>28048.0</v>
      </c>
      <c r="W79" s="5">
        <v>28794.0</v>
      </c>
      <c r="X79" s="5">
        <v>28893.0</v>
      </c>
      <c r="Y79" s="5">
        <v>27817.0</v>
      </c>
      <c r="Z79" s="5">
        <v>27718.0</v>
      </c>
      <c r="AA79" s="5">
        <v>25682.0</v>
      </c>
      <c r="AB79" s="5">
        <v>23316.0</v>
      </c>
      <c r="AC79" s="5">
        <v>21128.0</v>
      </c>
      <c r="AD79" s="5">
        <v>18930.0</v>
      </c>
      <c r="AE79" s="5">
        <v>16427.0</v>
      </c>
      <c r="AF79" s="5">
        <v>14527.0</v>
      </c>
      <c r="AG79" s="5">
        <v>12133.0</v>
      </c>
      <c r="AH79" s="5">
        <v>9780.0</v>
      </c>
      <c r="AI79" s="5">
        <v>7015.0</v>
      </c>
      <c r="AJ79" s="5">
        <v>4290.0</v>
      </c>
      <c r="AK79" s="5">
        <v>2225.0</v>
      </c>
      <c r="AL79" s="5">
        <v>1846.0</v>
      </c>
      <c r="AM79" s="5">
        <v>302214.0</v>
      </c>
      <c r="AN79" s="5">
        <v>26302.0</v>
      </c>
      <c r="AO79" s="5">
        <v>26466.0</v>
      </c>
      <c r="AP79" s="5">
        <v>27104.0</v>
      </c>
      <c r="AQ79" s="5">
        <v>27819.0</v>
      </c>
      <c r="AR79" s="5">
        <v>27738.0</v>
      </c>
      <c r="AS79" s="5">
        <v>25168.0</v>
      </c>
      <c r="AT79" s="5">
        <v>22256.0</v>
      </c>
      <c r="AU79" s="5">
        <v>20148.0</v>
      </c>
      <c r="AV79" s="5">
        <v>18546.0</v>
      </c>
      <c r="AW79" s="5">
        <v>16290.0</v>
      </c>
      <c r="AX79" s="5">
        <v>15222.0</v>
      </c>
      <c r="AY79" s="5">
        <v>13133.0</v>
      </c>
      <c r="AZ79" s="5">
        <v>11970.0</v>
      </c>
      <c r="BA79" s="5">
        <v>9231.0</v>
      </c>
      <c r="BB79" s="5">
        <v>6224.0</v>
      </c>
      <c r="BC79" s="5">
        <v>3987.0</v>
      </c>
      <c r="BD79" s="5">
        <v>4610.0</v>
      </c>
      <c r="BE79" s="4"/>
      <c r="BF79" s="4"/>
      <c r="BG79" s="4"/>
      <c r="BH79" s="4"/>
      <c r="BI79" s="4"/>
      <c r="BJ79" s="4"/>
    </row>
    <row r="80">
      <c r="A80" s="5"/>
      <c r="B80" s="5" t="s">
        <v>171</v>
      </c>
      <c r="C80" s="5">
        <v>457626.0</v>
      </c>
      <c r="D80" s="5">
        <v>44705.0</v>
      </c>
      <c r="E80" s="5">
        <v>42541.0</v>
      </c>
      <c r="F80" s="5">
        <v>40040.0</v>
      </c>
      <c r="G80" s="5">
        <v>38408.0</v>
      </c>
      <c r="H80" s="5">
        <v>42914.0</v>
      </c>
      <c r="I80" s="5">
        <v>39715.0</v>
      </c>
      <c r="J80" s="5">
        <v>35223.0</v>
      </c>
      <c r="K80" s="5">
        <v>32000.0</v>
      </c>
      <c r="L80" s="5">
        <v>28662.0</v>
      </c>
      <c r="M80" s="5">
        <v>24109.0</v>
      </c>
      <c r="N80" s="5">
        <v>22318.0</v>
      </c>
      <c r="O80" s="5">
        <v>19648.0</v>
      </c>
      <c r="P80" s="5">
        <v>16601.0</v>
      </c>
      <c r="Q80" s="5">
        <v>12255.0</v>
      </c>
      <c r="R80" s="5">
        <v>8115.0</v>
      </c>
      <c r="S80" s="5">
        <v>4818.0</v>
      </c>
      <c r="T80" s="5">
        <v>5554.0</v>
      </c>
      <c r="U80" s="5">
        <v>227078.0</v>
      </c>
      <c r="V80" s="5">
        <v>22878.0</v>
      </c>
      <c r="W80" s="5">
        <v>21960.0</v>
      </c>
      <c r="X80" s="5">
        <v>20651.0</v>
      </c>
      <c r="Y80" s="5">
        <v>19441.0</v>
      </c>
      <c r="Z80" s="5">
        <v>21471.0</v>
      </c>
      <c r="AA80" s="5">
        <v>20090.0</v>
      </c>
      <c r="AB80" s="5">
        <v>18112.0</v>
      </c>
      <c r="AC80" s="5">
        <v>16289.0</v>
      </c>
      <c r="AD80" s="5">
        <v>14653.0</v>
      </c>
      <c r="AE80" s="5">
        <v>12121.0</v>
      </c>
      <c r="AF80" s="5">
        <v>10824.0</v>
      </c>
      <c r="AG80" s="5">
        <v>9275.0</v>
      </c>
      <c r="AH80" s="5">
        <v>7521.0</v>
      </c>
      <c r="AI80" s="5">
        <v>5320.0</v>
      </c>
      <c r="AJ80" s="5">
        <v>3230.0</v>
      </c>
      <c r="AK80" s="5">
        <v>1683.0</v>
      </c>
      <c r="AL80" s="5">
        <v>1559.0</v>
      </c>
      <c r="AM80" s="5">
        <v>230548.0</v>
      </c>
      <c r="AN80" s="5">
        <v>21827.0</v>
      </c>
      <c r="AO80" s="5">
        <v>20581.0</v>
      </c>
      <c r="AP80" s="5">
        <v>19389.0</v>
      </c>
      <c r="AQ80" s="5">
        <v>18967.0</v>
      </c>
      <c r="AR80" s="5">
        <v>21443.0</v>
      </c>
      <c r="AS80" s="5">
        <v>19625.0</v>
      </c>
      <c r="AT80" s="5">
        <v>17111.0</v>
      </c>
      <c r="AU80" s="5">
        <v>15711.0</v>
      </c>
      <c r="AV80" s="5">
        <v>14009.0</v>
      </c>
      <c r="AW80" s="5">
        <v>11988.0</v>
      </c>
      <c r="AX80" s="5">
        <v>11494.0</v>
      </c>
      <c r="AY80" s="5">
        <v>10373.0</v>
      </c>
      <c r="AZ80" s="5">
        <v>9080.0</v>
      </c>
      <c r="BA80" s="5">
        <v>6935.0</v>
      </c>
      <c r="BB80" s="5">
        <v>4885.0</v>
      </c>
      <c r="BC80" s="5">
        <v>3135.0</v>
      </c>
      <c r="BD80" s="5">
        <v>3995.0</v>
      </c>
      <c r="BE80" s="4"/>
      <c r="BF80" s="4"/>
      <c r="BG80" s="4"/>
      <c r="BH80" s="4"/>
      <c r="BI80" s="4"/>
      <c r="BJ80" s="4"/>
    </row>
    <row r="81">
      <c r="A81" s="5"/>
      <c r="B81" s="5" t="s">
        <v>172</v>
      </c>
      <c r="C81" s="5">
        <v>8081988.0</v>
      </c>
      <c r="D81" s="5">
        <v>818458.0</v>
      </c>
      <c r="E81" s="5">
        <v>831160.0</v>
      </c>
      <c r="F81" s="5">
        <v>814141.0</v>
      </c>
      <c r="G81" s="5">
        <v>782134.0</v>
      </c>
      <c r="H81" s="5">
        <v>739566.0</v>
      </c>
      <c r="I81" s="5">
        <v>693342.0</v>
      </c>
      <c r="J81" s="5">
        <v>602033.0</v>
      </c>
      <c r="K81" s="5">
        <v>523606.0</v>
      </c>
      <c r="L81" s="5">
        <v>464865.0</v>
      </c>
      <c r="M81" s="5">
        <v>406654.0</v>
      </c>
      <c r="N81" s="5">
        <v>357904.0</v>
      </c>
      <c r="O81" s="5">
        <v>312268.0</v>
      </c>
      <c r="P81" s="5">
        <v>255384.0</v>
      </c>
      <c r="Q81" s="5">
        <v>189707.0</v>
      </c>
      <c r="R81" s="5">
        <v>126031.0</v>
      </c>
      <c r="S81" s="5">
        <v>82285.0</v>
      </c>
      <c r="T81" s="5">
        <v>82450.0</v>
      </c>
      <c r="U81" s="5">
        <v>4107820.0</v>
      </c>
      <c r="V81" s="5">
        <v>424085.0</v>
      </c>
      <c r="W81" s="5">
        <v>431814.0</v>
      </c>
      <c r="X81" s="5">
        <v>420924.0</v>
      </c>
      <c r="Y81" s="5">
        <v>400677.0</v>
      </c>
      <c r="Z81" s="5">
        <v>376996.0</v>
      </c>
      <c r="AA81" s="5">
        <v>354228.0</v>
      </c>
      <c r="AB81" s="5">
        <v>312093.0</v>
      </c>
      <c r="AC81" s="5">
        <v>271698.0</v>
      </c>
      <c r="AD81" s="5">
        <v>239841.0</v>
      </c>
      <c r="AE81" s="5">
        <v>207826.0</v>
      </c>
      <c r="AF81" s="5">
        <v>180633.0</v>
      </c>
      <c r="AG81" s="5">
        <v>155863.0</v>
      </c>
      <c r="AH81" s="5">
        <v>124157.0</v>
      </c>
      <c r="AI81" s="5">
        <v>88725.0</v>
      </c>
      <c r="AJ81" s="5">
        <v>55815.0</v>
      </c>
      <c r="AK81" s="5">
        <v>33522.0</v>
      </c>
      <c r="AL81" s="5">
        <v>28923.0</v>
      </c>
      <c r="AM81" s="5">
        <v>3974168.0</v>
      </c>
      <c r="AN81" s="5">
        <v>394373.0</v>
      </c>
      <c r="AO81" s="5">
        <v>399346.0</v>
      </c>
      <c r="AP81" s="5">
        <v>393217.0</v>
      </c>
      <c r="AQ81" s="5">
        <v>381457.0</v>
      </c>
      <c r="AR81" s="5">
        <v>362570.0</v>
      </c>
      <c r="AS81" s="5">
        <v>339114.0</v>
      </c>
      <c r="AT81" s="5">
        <v>289940.0</v>
      </c>
      <c r="AU81" s="5">
        <v>251908.0</v>
      </c>
      <c r="AV81" s="5">
        <v>225024.0</v>
      </c>
      <c r="AW81" s="5">
        <v>198828.0</v>
      </c>
      <c r="AX81" s="5">
        <v>177271.0</v>
      </c>
      <c r="AY81" s="5">
        <v>156405.0</v>
      </c>
      <c r="AZ81" s="5">
        <v>131227.0</v>
      </c>
      <c r="BA81" s="5">
        <v>100982.0</v>
      </c>
      <c r="BB81" s="5">
        <v>70216.0</v>
      </c>
      <c r="BC81" s="5">
        <v>48763.0</v>
      </c>
      <c r="BD81" s="5">
        <v>53527.0</v>
      </c>
      <c r="BE81" s="4"/>
      <c r="BF81" s="4"/>
      <c r="BG81" s="4"/>
      <c r="BH81" s="4"/>
      <c r="BI81" s="4"/>
      <c r="BJ81" s="4"/>
    </row>
    <row r="82">
      <c r="A82" s="5"/>
      <c r="B82" s="5" t="s">
        <v>173</v>
      </c>
      <c r="C82" s="5">
        <v>1394329.0</v>
      </c>
      <c r="D82" s="5">
        <v>132625.0</v>
      </c>
      <c r="E82" s="5">
        <v>138346.0</v>
      </c>
      <c r="F82" s="5">
        <v>141830.0</v>
      </c>
      <c r="G82" s="5">
        <v>142435.0</v>
      </c>
      <c r="H82" s="5">
        <v>117383.0</v>
      </c>
      <c r="I82" s="5">
        <v>103419.0</v>
      </c>
      <c r="J82" s="5">
        <v>94222.0</v>
      </c>
      <c r="K82" s="5">
        <v>84478.0</v>
      </c>
      <c r="L82" s="5">
        <v>79185.0</v>
      </c>
      <c r="M82" s="5">
        <v>73012.0</v>
      </c>
      <c r="N82" s="5">
        <v>66877.0</v>
      </c>
      <c r="O82" s="5">
        <v>59502.0</v>
      </c>
      <c r="P82" s="5">
        <v>50730.0</v>
      </c>
      <c r="Q82" s="5">
        <v>37756.0</v>
      </c>
      <c r="R82" s="5">
        <v>29002.0</v>
      </c>
      <c r="S82" s="5">
        <v>21361.0</v>
      </c>
      <c r="T82" s="5">
        <v>22166.0</v>
      </c>
      <c r="U82" s="5">
        <v>710739.0</v>
      </c>
      <c r="V82" s="5">
        <v>68751.0</v>
      </c>
      <c r="W82" s="5">
        <v>72239.0</v>
      </c>
      <c r="X82" s="5">
        <v>73520.0</v>
      </c>
      <c r="Y82" s="5">
        <v>73519.0</v>
      </c>
      <c r="Z82" s="5">
        <v>61095.0</v>
      </c>
      <c r="AA82" s="5">
        <v>53477.0</v>
      </c>
      <c r="AB82" s="5">
        <v>48913.0</v>
      </c>
      <c r="AC82" s="5">
        <v>43949.0</v>
      </c>
      <c r="AD82" s="5">
        <v>41290.0</v>
      </c>
      <c r="AE82" s="5">
        <v>37735.0</v>
      </c>
      <c r="AF82" s="5">
        <v>34126.0</v>
      </c>
      <c r="AG82" s="5">
        <v>29934.0</v>
      </c>
      <c r="AH82" s="5">
        <v>24997.0</v>
      </c>
      <c r="AI82" s="5">
        <v>17740.0</v>
      </c>
      <c r="AJ82" s="5">
        <v>12865.0</v>
      </c>
      <c r="AK82" s="5">
        <v>8727.0</v>
      </c>
      <c r="AL82" s="5">
        <v>7862.0</v>
      </c>
      <c r="AM82" s="5">
        <v>683590.0</v>
      </c>
      <c r="AN82" s="5">
        <v>63874.0</v>
      </c>
      <c r="AO82" s="5">
        <v>66107.0</v>
      </c>
      <c r="AP82" s="5">
        <v>68310.0</v>
      </c>
      <c r="AQ82" s="5">
        <v>68916.0</v>
      </c>
      <c r="AR82" s="5">
        <v>56288.0</v>
      </c>
      <c r="AS82" s="5">
        <v>49942.0</v>
      </c>
      <c r="AT82" s="5">
        <v>45309.0</v>
      </c>
      <c r="AU82" s="5">
        <v>40529.0</v>
      </c>
      <c r="AV82" s="5">
        <v>37895.0</v>
      </c>
      <c r="AW82" s="5">
        <v>35277.0</v>
      </c>
      <c r="AX82" s="5">
        <v>32751.0</v>
      </c>
      <c r="AY82" s="5">
        <v>29568.0</v>
      </c>
      <c r="AZ82" s="5">
        <v>25733.0</v>
      </c>
      <c r="BA82" s="5">
        <v>20016.0</v>
      </c>
      <c r="BB82" s="5">
        <v>16137.0</v>
      </c>
      <c r="BC82" s="5">
        <v>12634.0</v>
      </c>
      <c r="BD82" s="5">
        <v>14304.0</v>
      </c>
      <c r="BE82" s="4"/>
      <c r="BF82" s="4"/>
      <c r="BG82" s="4"/>
      <c r="BH82" s="4"/>
      <c r="BI82" s="4"/>
      <c r="BJ82" s="4"/>
    </row>
    <row r="83">
      <c r="A83" s="5"/>
      <c r="B83" s="5" t="s">
        <v>174</v>
      </c>
      <c r="C83" s="5">
        <v>3325385.0</v>
      </c>
      <c r="D83" s="5">
        <v>355059.0</v>
      </c>
      <c r="E83" s="5">
        <v>361227.0</v>
      </c>
      <c r="F83" s="5">
        <v>346084.0</v>
      </c>
      <c r="G83" s="5">
        <v>324818.0</v>
      </c>
      <c r="H83" s="5">
        <v>299427.0</v>
      </c>
      <c r="I83" s="5">
        <v>279364.0</v>
      </c>
      <c r="J83" s="5">
        <v>243163.0</v>
      </c>
      <c r="K83" s="5">
        <v>213479.0</v>
      </c>
      <c r="L83" s="5">
        <v>188556.0</v>
      </c>
      <c r="M83" s="5">
        <v>162924.0</v>
      </c>
      <c r="N83" s="5">
        <v>141768.0</v>
      </c>
      <c r="O83" s="5">
        <v>123112.0</v>
      </c>
      <c r="P83" s="5">
        <v>100185.0</v>
      </c>
      <c r="Q83" s="5">
        <v>75726.0</v>
      </c>
      <c r="R83" s="5">
        <v>49105.0</v>
      </c>
      <c r="S83" s="5">
        <v>31240.0</v>
      </c>
      <c r="T83" s="5">
        <v>30148.0</v>
      </c>
      <c r="U83" s="5">
        <v>1696389.0</v>
      </c>
      <c r="V83" s="5">
        <v>183909.0</v>
      </c>
      <c r="W83" s="5">
        <v>187849.0</v>
      </c>
      <c r="X83" s="5">
        <v>179482.0</v>
      </c>
      <c r="Y83" s="5">
        <v>167753.0</v>
      </c>
      <c r="Z83" s="5">
        <v>153714.0</v>
      </c>
      <c r="AA83" s="5">
        <v>142817.0</v>
      </c>
      <c r="AB83" s="5">
        <v>125998.0</v>
      </c>
      <c r="AC83" s="5">
        <v>110839.0</v>
      </c>
      <c r="AD83" s="5">
        <v>97582.0</v>
      </c>
      <c r="AE83" s="5">
        <v>83615.0</v>
      </c>
      <c r="AF83" s="5">
        <v>71943.0</v>
      </c>
      <c r="AG83" s="5">
        <v>61960.0</v>
      </c>
      <c r="AH83" s="5">
        <v>48868.0</v>
      </c>
      <c r="AI83" s="5">
        <v>35268.0</v>
      </c>
      <c r="AJ83" s="5">
        <v>21810.0</v>
      </c>
      <c r="AK83" s="5">
        <v>12594.0</v>
      </c>
      <c r="AL83" s="5">
        <v>10388.0</v>
      </c>
      <c r="AM83" s="5">
        <v>1628996.0</v>
      </c>
      <c r="AN83" s="5">
        <v>171150.0</v>
      </c>
      <c r="AO83" s="5">
        <v>173378.0</v>
      </c>
      <c r="AP83" s="5">
        <v>166602.0</v>
      </c>
      <c r="AQ83" s="5">
        <v>157065.0</v>
      </c>
      <c r="AR83" s="5">
        <v>145713.0</v>
      </c>
      <c r="AS83" s="5">
        <v>136547.0</v>
      </c>
      <c r="AT83" s="5">
        <v>117165.0</v>
      </c>
      <c r="AU83" s="5">
        <v>102640.0</v>
      </c>
      <c r="AV83" s="5">
        <v>90974.0</v>
      </c>
      <c r="AW83" s="5">
        <v>79309.0</v>
      </c>
      <c r="AX83" s="5">
        <v>69825.0</v>
      </c>
      <c r="AY83" s="5">
        <v>61152.0</v>
      </c>
      <c r="AZ83" s="5">
        <v>51317.0</v>
      </c>
      <c r="BA83" s="5">
        <v>40458.0</v>
      </c>
      <c r="BB83" s="5">
        <v>27295.0</v>
      </c>
      <c r="BC83" s="5">
        <v>18646.0</v>
      </c>
      <c r="BD83" s="5">
        <v>19760.0</v>
      </c>
      <c r="BE83" s="4"/>
      <c r="BF83" s="4"/>
      <c r="BG83" s="4"/>
      <c r="BH83" s="4"/>
      <c r="BI83" s="4"/>
      <c r="BJ83" s="4"/>
    </row>
    <row r="84">
      <c r="A84" s="5"/>
      <c r="B84" s="5" t="s">
        <v>175</v>
      </c>
      <c r="C84" s="5">
        <v>1432990.0</v>
      </c>
      <c r="D84" s="5">
        <v>144422.0</v>
      </c>
      <c r="E84" s="5">
        <v>148112.0</v>
      </c>
      <c r="F84" s="5">
        <v>145578.0</v>
      </c>
      <c r="G84" s="5">
        <v>138615.0</v>
      </c>
      <c r="H84" s="5">
        <v>125503.0</v>
      </c>
      <c r="I84" s="5">
        <v>117648.0</v>
      </c>
      <c r="J84" s="5">
        <v>101119.0</v>
      </c>
      <c r="K84" s="5">
        <v>87197.0</v>
      </c>
      <c r="L84" s="5">
        <v>77680.0</v>
      </c>
      <c r="M84" s="5">
        <v>71823.0</v>
      </c>
      <c r="N84" s="5">
        <v>66179.0</v>
      </c>
      <c r="O84" s="5">
        <v>61580.0</v>
      </c>
      <c r="P84" s="5">
        <v>50693.0</v>
      </c>
      <c r="Q84" s="5">
        <v>38958.0</v>
      </c>
      <c r="R84" s="5">
        <v>24415.0</v>
      </c>
      <c r="S84" s="5">
        <v>16140.0</v>
      </c>
      <c r="T84" s="5">
        <v>17328.0</v>
      </c>
      <c r="U84" s="5">
        <v>730562.0</v>
      </c>
      <c r="V84" s="5">
        <v>74897.0</v>
      </c>
      <c r="W84" s="5">
        <v>76657.0</v>
      </c>
      <c r="X84" s="5">
        <v>74925.0</v>
      </c>
      <c r="Y84" s="5">
        <v>70514.0</v>
      </c>
      <c r="Z84" s="5">
        <v>64084.0</v>
      </c>
      <c r="AA84" s="5">
        <v>60799.0</v>
      </c>
      <c r="AB84" s="5">
        <v>53302.0</v>
      </c>
      <c r="AC84" s="5">
        <v>45857.0</v>
      </c>
      <c r="AD84" s="5">
        <v>40403.0</v>
      </c>
      <c r="AE84" s="5">
        <v>36732.0</v>
      </c>
      <c r="AF84" s="5">
        <v>33118.0</v>
      </c>
      <c r="AG84" s="5">
        <v>30813.0</v>
      </c>
      <c r="AH84" s="5">
        <v>24874.0</v>
      </c>
      <c r="AI84" s="5">
        <v>18875.0</v>
      </c>
      <c r="AJ84" s="5">
        <v>11153.0</v>
      </c>
      <c r="AK84" s="5">
        <v>6940.0</v>
      </c>
      <c r="AL84" s="5">
        <v>6619.0</v>
      </c>
      <c r="AM84" s="5">
        <v>702428.0</v>
      </c>
      <c r="AN84" s="5">
        <v>69525.0</v>
      </c>
      <c r="AO84" s="5">
        <v>71455.0</v>
      </c>
      <c r="AP84" s="5">
        <v>70653.0</v>
      </c>
      <c r="AQ84" s="5">
        <v>68101.0</v>
      </c>
      <c r="AR84" s="5">
        <v>61419.0</v>
      </c>
      <c r="AS84" s="5">
        <v>56849.0</v>
      </c>
      <c r="AT84" s="5">
        <v>47817.0</v>
      </c>
      <c r="AU84" s="5">
        <v>41340.0</v>
      </c>
      <c r="AV84" s="5">
        <v>37277.0</v>
      </c>
      <c r="AW84" s="5">
        <v>35091.0</v>
      </c>
      <c r="AX84" s="5">
        <v>33061.0</v>
      </c>
      <c r="AY84" s="5">
        <v>30767.0</v>
      </c>
      <c r="AZ84" s="5">
        <v>25819.0</v>
      </c>
      <c r="BA84" s="5">
        <v>20083.0</v>
      </c>
      <c r="BB84" s="5">
        <v>13262.0</v>
      </c>
      <c r="BC84" s="5">
        <v>9200.0</v>
      </c>
      <c r="BD84" s="5">
        <v>10709.0</v>
      </c>
      <c r="BE84" s="4"/>
      <c r="BF84" s="4"/>
      <c r="BG84" s="4"/>
      <c r="BH84" s="4"/>
      <c r="BI84" s="4"/>
      <c r="BJ84" s="4"/>
    </row>
    <row r="85">
      <c r="A85" s="5"/>
      <c r="B85" s="5" t="s">
        <v>176</v>
      </c>
      <c r="C85" s="5">
        <v>103395.0</v>
      </c>
      <c r="D85" s="5">
        <v>8041.0</v>
      </c>
      <c r="E85" s="5">
        <v>9046.0</v>
      </c>
      <c r="F85" s="5">
        <v>9240.0</v>
      </c>
      <c r="G85" s="5">
        <v>9465.0</v>
      </c>
      <c r="H85" s="5">
        <v>8297.0</v>
      </c>
      <c r="I85" s="5">
        <v>7869.0</v>
      </c>
      <c r="J85" s="5">
        <v>7290.0</v>
      </c>
      <c r="K85" s="5">
        <v>6774.0</v>
      </c>
      <c r="L85" s="5">
        <v>6327.0</v>
      </c>
      <c r="M85" s="5">
        <v>5983.0</v>
      </c>
      <c r="N85" s="5">
        <v>5524.0</v>
      </c>
      <c r="O85" s="5">
        <v>4957.0</v>
      </c>
      <c r="P85" s="5">
        <v>4297.0</v>
      </c>
      <c r="Q85" s="5">
        <v>3469.0</v>
      </c>
      <c r="R85" s="5">
        <v>2565.0</v>
      </c>
      <c r="S85" s="5">
        <v>2077.0</v>
      </c>
      <c r="T85" s="5">
        <v>2174.0</v>
      </c>
      <c r="U85" s="5">
        <v>52192.0</v>
      </c>
      <c r="V85" s="5">
        <v>4158.0</v>
      </c>
      <c r="W85" s="5">
        <v>4589.0</v>
      </c>
      <c r="X85" s="5">
        <v>4770.0</v>
      </c>
      <c r="Y85" s="5">
        <v>4850.0</v>
      </c>
      <c r="Z85" s="5">
        <v>4284.0</v>
      </c>
      <c r="AA85" s="5">
        <v>4053.0</v>
      </c>
      <c r="AB85" s="5">
        <v>3720.0</v>
      </c>
      <c r="AC85" s="5">
        <v>3512.0</v>
      </c>
      <c r="AD85" s="5">
        <v>3284.0</v>
      </c>
      <c r="AE85" s="5">
        <v>3076.0</v>
      </c>
      <c r="AF85" s="5">
        <v>2893.0</v>
      </c>
      <c r="AG85" s="5">
        <v>2495.0</v>
      </c>
      <c r="AH85" s="5">
        <v>2087.0</v>
      </c>
      <c r="AI85" s="5">
        <v>1673.0</v>
      </c>
      <c r="AJ85" s="5">
        <v>1117.0</v>
      </c>
      <c r="AK85" s="5">
        <v>887.0</v>
      </c>
      <c r="AL85" s="5">
        <v>744.0</v>
      </c>
      <c r="AM85" s="5">
        <v>51203.0</v>
      </c>
      <c r="AN85" s="5">
        <v>3883.0</v>
      </c>
      <c r="AO85" s="5">
        <v>4457.0</v>
      </c>
      <c r="AP85" s="5">
        <v>4470.0</v>
      </c>
      <c r="AQ85" s="5">
        <v>4615.0</v>
      </c>
      <c r="AR85" s="5">
        <v>4013.0</v>
      </c>
      <c r="AS85" s="5">
        <v>3816.0</v>
      </c>
      <c r="AT85" s="5">
        <v>3570.0</v>
      </c>
      <c r="AU85" s="5">
        <v>3262.0</v>
      </c>
      <c r="AV85" s="5">
        <v>3043.0</v>
      </c>
      <c r="AW85" s="5">
        <v>2907.0</v>
      </c>
      <c r="AX85" s="5">
        <v>2631.0</v>
      </c>
      <c r="AY85" s="5">
        <v>2462.0</v>
      </c>
      <c r="AZ85" s="5">
        <v>2210.0</v>
      </c>
      <c r="BA85" s="5">
        <v>1796.0</v>
      </c>
      <c r="BB85" s="5">
        <v>1448.0</v>
      </c>
      <c r="BC85" s="5">
        <v>1190.0</v>
      </c>
      <c r="BD85" s="5">
        <v>1430.0</v>
      </c>
      <c r="BE85" s="4"/>
      <c r="BF85" s="4"/>
      <c r="BG85" s="4"/>
      <c r="BH85" s="4"/>
      <c r="BI85" s="4"/>
      <c r="BJ85" s="4"/>
    </row>
    <row r="86">
      <c r="A86" s="5"/>
      <c r="B86" s="5" t="s">
        <v>177</v>
      </c>
      <c r="C86" s="5">
        <v>964169.0</v>
      </c>
      <c r="D86" s="5">
        <v>95372.0</v>
      </c>
      <c r="E86" s="5">
        <v>92172.0</v>
      </c>
      <c r="F86" s="5">
        <v>89895.0</v>
      </c>
      <c r="G86" s="5">
        <v>89666.0</v>
      </c>
      <c r="H86" s="5">
        <v>99594.0</v>
      </c>
      <c r="I86" s="5">
        <v>94858.0</v>
      </c>
      <c r="J86" s="5">
        <v>78878.0</v>
      </c>
      <c r="K86" s="5">
        <v>65966.0</v>
      </c>
      <c r="L86" s="5">
        <v>56799.0</v>
      </c>
      <c r="M86" s="5">
        <v>48323.0</v>
      </c>
      <c r="N86" s="5">
        <v>42000.0</v>
      </c>
      <c r="O86" s="5">
        <v>35510.0</v>
      </c>
      <c r="P86" s="5">
        <v>28697.0</v>
      </c>
      <c r="Q86" s="5">
        <v>20011.0</v>
      </c>
      <c r="R86" s="5">
        <v>12571.0</v>
      </c>
      <c r="S86" s="5">
        <v>7024.0</v>
      </c>
      <c r="T86" s="5">
        <v>6833.0</v>
      </c>
      <c r="U86" s="5">
        <v>482241.0</v>
      </c>
      <c r="V86" s="5">
        <v>49148.0</v>
      </c>
      <c r="W86" s="5">
        <v>47663.0</v>
      </c>
      <c r="X86" s="5">
        <v>46277.0</v>
      </c>
      <c r="Y86" s="5">
        <v>45005.0</v>
      </c>
      <c r="Z86" s="5">
        <v>49140.0</v>
      </c>
      <c r="AA86" s="5">
        <v>47940.0</v>
      </c>
      <c r="AB86" s="5">
        <v>40460.0</v>
      </c>
      <c r="AC86" s="5">
        <v>33758.0</v>
      </c>
      <c r="AD86" s="5">
        <v>28717.0</v>
      </c>
      <c r="AE86" s="5">
        <v>24081.0</v>
      </c>
      <c r="AF86" s="5">
        <v>20506.0</v>
      </c>
      <c r="AG86" s="5">
        <v>17157.0</v>
      </c>
      <c r="AH86" s="5">
        <v>13350.0</v>
      </c>
      <c r="AI86" s="5">
        <v>8960.0</v>
      </c>
      <c r="AJ86" s="5">
        <v>5323.0</v>
      </c>
      <c r="AK86" s="5">
        <v>2666.0</v>
      </c>
      <c r="AL86" s="5">
        <v>2090.0</v>
      </c>
      <c r="AM86" s="5">
        <v>481928.0</v>
      </c>
      <c r="AN86" s="5">
        <v>46224.0</v>
      </c>
      <c r="AO86" s="5">
        <v>44509.0</v>
      </c>
      <c r="AP86" s="5">
        <v>43618.0</v>
      </c>
      <c r="AQ86" s="5">
        <v>44661.0</v>
      </c>
      <c r="AR86" s="5">
        <v>50454.0</v>
      </c>
      <c r="AS86" s="5">
        <v>46918.0</v>
      </c>
      <c r="AT86" s="5">
        <v>38418.0</v>
      </c>
      <c r="AU86" s="5">
        <v>32208.0</v>
      </c>
      <c r="AV86" s="5">
        <v>28082.0</v>
      </c>
      <c r="AW86" s="5">
        <v>24242.0</v>
      </c>
      <c r="AX86" s="5">
        <v>21494.0</v>
      </c>
      <c r="AY86" s="5">
        <v>18353.0</v>
      </c>
      <c r="AZ86" s="5">
        <v>15347.0</v>
      </c>
      <c r="BA86" s="5">
        <v>11051.0</v>
      </c>
      <c r="BB86" s="5">
        <v>7248.0</v>
      </c>
      <c r="BC86" s="5">
        <v>4358.0</v>
      </c>
      <c r="BD86" s="5">
        <v>4743.0</v>
      </c>
      <c r="BE86" s="4"/>
      <c r="BF86" s="4"/>
      <c r="BG86" s="4"/>
      <c r="BH86" s="4"/>
      <c r="BI86" s="4"/>
      <c r="BJ86" s="4"/>
    </row>
    <row r="87">
      <c r="A87" s="5"/>
      <c r="B87" s="5" t="s">
        <v>178</v>
      </c>
      <c r="C87" s="5">
        <v>497604.0</v>
      </c>
      <c r="D87" s="5">
        <v>50681.0</v>
      </c>
      <c r="E87" s="5">
        <v>50676.0</v>
      </c>
      <c r="F87" s="5">
        <v>50105.0</v>
      </c>
      <c r="G87" s="5">
        <v>45063.0</v>
      </c>
      <c r="H87" s="5">
        <v>49979.0</v>
      </c>
      <c r="I87" s="5">
        <v>50421.0</v>
      </c>
      <c r="J87" s="5">
        <v>44324.0</v>
      </c>
      <c r="K87" s="5">
        <v>38024.0</v>
      </c>
      <c r="L87" s="5">
        <v>32424.0</v>
      </c>
      <c r="M87" s="5">
        <v>25010.0</v>
      </c>
      <c r="N87" s="5">
        <v>19250.0</v>
      </c>
      <c r="O87" s="5">
        <v>14537.0</v>
      </c>
      <c r="P87" s="5">
        <v>11041.0</v>
      </c>
      <c r="Q87" s="5">
        <v>7310.0</v>
      </c>
      <c r="R87" s="5">
        <v>4542.0</v>
      </c>
      <c r="S87" s="5">
        <v>2355.0</v>
      </c>
      <c r="T87" s="5">
        <v>1862.0</v>
      </c>
      <c r="U87" s="5">
        <v>250299.0</v>
      </c>
      <c r="V87" s="5">
        <v>26312.0</v>
      </c>
      <c r="W87" s="5">
        <v>26330.0</v>
      </c>
      <c r="X87" s="5">
        <v>25825.0</v>
      </c>
      <c r="Y87" s="5">
        <v>22740.0</v>
      </c>
      <c r="Z87" s="5">
        <v>24849.0</v>
      </c>
      <c r="AA87" s="5">
        <v>24700.0</v>
      </c>
      <c r="AB87" s="5">
        <v>22310.0</v>
      </c>
      <c r="AC87" s="5">
        <v>19377.0</v>
      </c>
      <c r="AD87" s="5">
        <v>16375.0</v>
      </c>
      <c r="AE87" s="5">
        <v>12601.0</v>
      </c>
      <c r="AF87" s="5">
        <v>9747.0</v>
      </c>
      <c r="AG87" s="5">
        <v>7137.0</v>
      </c>
      <c r="AH87" s="5">
        <v>5304.0</v>
      </c>
      <c r="AI87" s="5">
        <v>3303.0</v>
      </c>
      <c r="AJ87" s="5">
        <v>1914.0</v>
      </c>
      <c r="AK87" s="5">
        <v>887.0</v>
      </c>
      <c r="AL87" s="5">
        <v>588.0</v>
      </c>
      <c r="AM87" s="5">
        <v>247305.0</v>
      </c>
      <c r="AN87" s="5">
        <v>24369.0</v>
      </c>
      <c r="AO87" s="5">
        <v>24346.0</v>
      </c>
      <c r="AP87" s="5">
        <v>24280.0</v>
      </c>
      <c r="AQ87" s="5">
        <v>22323.0</v>
      </c>
      <c r="AR87" s="5">
        <v>25130.0</v>
      </c>
      <c r="AS87" s="5">
        <v>25721.0</v>
      </c>
      <c r="AT87" s="5">
        <v>22014.0</v>
      </c>
      <c r="AU87" s="5">
        <v>18647.0</v>
      </c>
      <c r="AV87" s="5">
        <v>16049.0</v>
      </c>
      <c r="AW87" s="5">
        <v>12409.0</v>
      </c>
      <c r="AX87" s="5">
        <v>9503.0</v>
      </c>
      <c r="AY87" s="5">
        <v>7400.0</v>
      </c>
      <c r="AZ87" s="5">
        <v>5737.0</v>
      </c>
      <c r="BA87" s="5">
        <v>4007.0</v>
      </c>
      <c r="BB87" s="5">
        <v>2628.0</v>
      </c>
      <c r="BC87" s="5">
        <v>1468.0</v>
      </c>
      <c r="BD87" s="5">
        <v>1274.0</v>
      </c>
      <c r="BE87" s="4"/>
      <c r="BF87" s="4"/>
      <c r="BG87" s="4"/>
      <c r="BH87" s="4"/>
      <c r="BI87" s="4"/>
      <c r="BJ87" s="4"/>
    </row>
    <row r="88">
      <c r="A88" s="5"/>
      <c r="B88" s="5" t="s">
        <v>179</v>
      </c>
      <c r="C88" s="5">
        <v>364116.0</v>
      </c>
      <c r="D88" s="5">
        <v>32258.0</v>
      </c>
      <c r="E88" s="5">
        <v>31581.0</v>
      </c>
      <c r="F88" s="5">
        <v>31409.0</v>
      </c>
      <c r="G88" s="5">
        <v>32072.0</v>
      </c>
      <c r="H88" s="5">
        <v>39383.0</v>
      </c>
      <c r="I88" s="5">
        <v>39763.0</v>
      </c>
      <c r="J88" s="5">
        <v>33037.0</v>
      </c>
      <c r="K88" s="5">
        <v>27688.0</v>
      </c>
      <c r="L88" s="5">
        <v>23894.0</v>
      </c>
      <c r="M88" s="5">
        <v>19579.0</v>
      </c>
      <c r="N88" s="5">
        <v>16306.0</v>
      </c>
      <c r="O88" s="5">
        <v>13070.0</v>
      </c>
      <c r="P88" s="5">
        <v>9741.0</v>
      </c>
      <c r="Q88" s="5">
        <v>6477.0</v>
      </c>
      <c r="R88" s="5">
        <v>3831.0</v>
      </c>
      <c r="S88" s="5">
        <v>2088.0</v>
      </c>
      <c r="T88" s="5">
        <v>1939.0</v>
      </c>
      <c r="U88" s="5">
        <v>185398.0</v>
      </c>
      <c r="V88" s="5">
        <v>16910.0</v>
      </c>
      <c r="W88" s="5">
        <v>16487.0</v>
      </c>
      <c r="X88" s="5">
        <v>16125.0</v>
      </c>
      <c r="Y88" s="5">
        <v>16296.0</v>
      </c>
      <c r="Z88" s="5">
        <v>19830.0</v>
      </c>
      <c r="AA88" s="5">
        <v>20442.0</v>
      </c>
      <c r="AB88" s="5">
        <v>17390.0</v>
      </c>
      <c r="AC88" s="5">
        <v>14406.0</v>
      </c>
      <c r="AD88" s="5">
        <v>12190.0</v>
      </c>
      <c r="AE88" s="5">
        <v>9986.0</v>
      </c>
      <c r="AF88" s="5">
        <v>8300.0</v>
      </c>
      <c r="AG88" s="5">
        <v>6367.0</v>
      </c>
      <c r="AH88" s="5">
        <v>4677.0</v>
      </c>
      <c r="AI88" s="5">
        <v>2906.0</v>
      </c>
      <c r="AJ88" s="5">
        <v>1633.0</v>
      </c>
      <c r="AK88" s="5">
        <v>821.0</v>
      </c>
      <c r="AL88" s="5">
        <v>632.0</v>
      </c>
      <c r="AM88" s="5">
        <v>178718.0</v>
      </c>
      <c r="AN88" s="5">
        <v>15348.0</v>
      </c>
      <c r="AO88" s="5">
        <v>15094.0</v>
      </c>
      <c r="AP88" s="5">
        <v>15284.0</v>
      </c>
      <c r="AQ88" s="5">
        <v>15776.0</v>
      </c>
      <c r="AR88" s="5">
        <v>19553.0</v>
      </c>
      <c r="AS88" s="5">
        <v>19321.0</v>
      </c>
      <c r="AT88" s="5">
        <v>15647.0</v>
      </c>
      <c r="AU88" s="5">
        <v>13282.0</v>
      </c>
      <c r="AV88" s="5">
        <v>11704.0</v>
      </c>
      <c r="AW88" s="5">
        <v>9593.0</v>
      </c>
      <c r="AX88" s="5">
        <v>8006.0</v>
      </c>
      <c r="AY88" s="5">
        <v>6703.0</v>
      </c>
      <c r="AZ88" s="5">
        <v>5064.0</v>
      </c>
      <c r="BA88" s="5">
        <v>3571.0</v>
      </c>
      <c r="BB88" s="5">
        <v>2198.0</v>
      </c>
      <c r="BC88" s="5">
        <v>1267.0</v>
      </c>
      <c r="BD88" s="5">
        <v>1307.0</v>
      </c>
      <c r="BE88" s="4"/>
      <c r="BF88" s="4"/>
      <c r="BG88" s="4"/>
      <c r="BH88" s="4"/>
      <c r="BI88" s="4"/>
      <c r="BJ88" s="4"/>
    </row>
    <row r="89">
      <c r="A89" s="5"/>
      <c r="B89" s="5" t="s">
        <v>180</v>
      </c>
      <c r="C89" s="5">
        <v>4547150.0</v>
      </c>
      <c r="D89" s="5">
        <v>475777.0</v>
      </c>
      <c r="E89" s="5">
        <v>499348.0</v>
      </c>
      <c r="F89" s="5">
        <v>497429.0</v>
      </c>
      <c r="G89" s="5">
        <v>478776.0</v>
      </c>
      <c r="H89" s="5">
        <v>405926.0</v>
      </c>
      <c r="I89" s="5">
        <v>339954.0</v>
      </c>
      <c r="J89" s="5">
        <v>292211.0</v>
      </c>
      <c r="K89" s="5">
        <v>260340.0</v>
      </c>
      <c r="L89" s="5">
        <v>245467.0</v>
      </c>
      <c r="M89" s="5">
        <v>223590.0</v>
      </c>
      <c r="N89" s="5">
        <v>206080.0</v>
      </c>
      <c r="O89" s="5">
        <v>178037.0</v>
      </c>
      <c r="P89" s="5">
        <v>150241.0</v>
      </c>
      <c r="Q89" s="5">
        <v>110239.0</v>
      </c>
      <c r="R89" s="5">
        <v>80153.0</v>
      </c>
      <c r="S89" s="5">
        <v>53118.0</v>
      </c>
      <c r="T89" s="5">
        <v>50464.0</v>
      </c>
      <c r="U89" s="5">
        <v>2333375.0</v>
      </c>
      <c r="V89" s="5">
        <v>246009.0</v>
      </c>
      <c r="W89" s="5">
        <v>259523.0</v>
      </c>
      <c r="X89" s="5">
        <v>257458.0</v>
      </c>
      <c r="Y89" s="5">
        <v>245756.0</v>
      </c>
      <c r="Z89" s="5">
        <v>210391.0</v>
      </c>
      <c r="AA89" s="5">
        <v>176413.0</v>
      </c>
      <c r="AB89" s="5">
        <v>153606.0</v>
      </c>
      <c r="AC89" s="5">
        <v>137219.0</v>
      </c>
      <c r="AD89" s="5">
        <v>128941.0</v>
      </c>
      <c r="AE89" s="5">
        <v>116864.0</v>
      </c>
      <c r="AF89" s="5">
        <v>106151.0</v>
      </c>
      <c r="AG89" s="5">
        <v>91355.0</v>
      </c>
      <c r="AH89" s="5">
        <v>75265.0</v>
      </c>
      <c r="AI89" s="5">
        <v>52765.0</v>
      </c>
      <c r="AJ89" s="5">
        <v>35820.0</v>
      </c>
      <c r="AK89" s="5">
        <v>21953.0</v>
      </c>
      <c r="AL89" s="5">
        <v>17886.0</v>
      </c>
      <c r="AM89" s="5">
        <v>2213775.0</v>
      </c>
      <c r="AN89" s="5">
        <v>229768.0</v>
      </c>
      <c r="AO89" s="5">
        <v>239825.0</v>
      </c>
      <c r="AP89" s="5">
        <v>239971.0</v>
      </c>
      <c r="AQ89" s="5">
        <v>233020.0</v>
      </c>
      <c r="AR89" s="5">
        <v>195535.0</v>
      </c>
      <c r="AS89" s="5">
        <v>163541.0</v>
      </c>
      <c r="AT89" s="5">
        <v>138605.0</v>
      </c>
      <c r="AU89" s="5">
        <v>123121.0</v>
      </c>
      <c r="AV89" s="5">
        <v>116526.0</v>
      </c>
      <c r="AW89" s="5">
        <v>106726.0</v>
      </c>
      <c r="AX89" s="5">
        <v>99929.0</v>
      </c>
      <c r="AY89" s="5">
        <v>86682.0</v>
      </c>
      <c r="AZ89" s="5">
        <v>74976.0</v>
      </c>
      <c r="BA89" s="5">
        <v>57474.0</v>
      </c>
      <c r="BB89" s="5">
        <v>44333.0</v>
      </c>
      <c r="BC89" s="5">
        <v>31165.0</v>
      </c>
      <c r="BD89" s="5">
        <v>32578.0</v>
      </c>
      <c r="BE89" s="4"/>
      <c r="BF89" s="4"/>
      <c r="BG89" s="4"/>
      <c r="BH89" s="4"/>
      <c r="BI89" s="4"/>
      <c r="BJ89" s="4"/>
    </row>
    <row r="90">
      <c r="A90" s="5"/>
      <c r="B90" s="5" t="s">
        <v>181</v>
      </c>
      <c r="C90" s="5">
        <v>179312.0</v>
      </c>
      <c r="D90" s="5">
        <v>18066.0</v>
      </c>
      <c r="E90" s="5">
        <v>20373.0</v>
      </c>
      <c r="F90" s="5">
        <v>20147.0</v>
      </c>
      <c r="G90" s="5">
        <v>18539.0</v>
      </c>
      <c r="H90" s="5">
        <v>15099.0</v>
      </c>
      <c r="I90" s="5">
        <v>12805.0</v>
      </c>
      <c r="J90" s="5">
        <v>10958.0</v>
      </c>
      <c r="K90" s="5">
        <v>10021.0</v>
      </c>
      <c r="L90" s="5">
        <v>9542.0</v>
      </c>
      <c r="M90" s="5">
        <v>8957.0</v>
      </c>
      <c r="N90" s="5">
        <v>8489.0</v>
      </c>
      <c r="O90" s="5">
        <v>7410.0</v>
      </c>
      <c r="P90" s="5">
        <v>6144.0</v>
      </c>
      <c r="Q90" s="5">
        <v>4705.0</v>
      </c>
      <c r="R90" s="5">
        <v>3480.0</v>
      </c>
      <c r="S90" s="5">
        <v>2279.0</v>
      </c>
      <c r="T90" s="5">
        <v>2298.0</v>
      </c>
      <c r="U90" s="5">
        <v>91472.0</v>
      </c>
      <c r="V90" s="5">
        <v>9421.0</v>
      </c>
      <c r="W90" s="5">
        <v>10578.0</v>
      </c>
      <c r="X90" s="5">
        <v>10475.0</v>
      </c>
      <c r="Y90" s="5">
        <v>9605.0</v>
      </c>
      <c r="Z90" s="5">
        <v>7761.0</v>
      </c>
      <c r="AA90" s="5">
        <v>6623.0</v>
      </c>
      <c r="AB90" s="5">
        <v>5697.0</v>
      </c>
      <c r="AC90" s="5">
        <v>5235.0</v>
      </c>
      <c r="AD90" s="5">
        <v>4911.0</v>
      </c>
      <c r="AE90" s="5">
        <v>4686.0</v>
      </c>
      <c r="AF90" s="5">
        <v>4295.0</v>
      </c>
      <c r="AG90" s="5">
        <v>3727.0</v>
      </c>
      <c r="AH90" s="5">
        <v>3057.0</v>
      </c>
      <c r="AI90" s="5">
        <v>2189.0</v>
      </c>
      <c r="AJ90" s="5">
        <v>1542.0</v>
      </c>
      <c r="AK90" s="5">
        <v>894.0</v>
      </c>
      <c r="AL90" s="5">
        <v>776.0</v>
      </c>
      <c r="AM90" s="5">
        <v>87840.0</v>
      </c>
      <c r="AN90" s="5">
        <v>8645.0</v>
      </c>
      <c r="AO90" s="5">
        <v>9795.0</v>
      </c>
      <c r="AP90" s="5">
        <v>9672.0</v>
      </c>
      <c r="AQ90" s="5">
        <v>8934.0</v>
      </c>
      <c r="AR90" s="5">
        <v>7338.0</v>
      </c>
      <c r="AS90" s="5">
        <v>6182.0</v>
      </c>
      <c r="AT90" s="5">
        <v>5261.0</v>
      </c>
      <c r="AU90" s="5">
        <v>4786.0</v>
      </c>
      <c r="AV90" s="5">
        <v>4631.0</v>
      </c>
      <c r="AW90" s="5">
        <v>4271.0</v>
      </c>
      <c r="AX90" s="5">
        <v>4194.0</v>
      </c>
      <c r="AY90" s="5">
        <v>3683.0</v>
      </c>
      <c r="AZ90" s="5">
        <v>3087.0</v>
      </c>
      <c r="BA90" s="5">
        <v>2516.0</v>
      </c>
      <c r="BB90" s="5">
        <v>1938.0</v>
      </c>
      <c r="BC90" s="5">
        <v>1385.0</v>
      </c>
      <c r="BD90" s="5">
        <v>1522.0</v>
      </c>
      <c r="BE90" s="4"/>
      <c r="BF90" s="4"/>
      <c r="BG90" s="4"/>
      <c r="BH90" s="4"/>
      <c r="BI90" s="4"/>
      <c r="BJ90" s="4"/>
    </row>
    <row r="91">
      <c r="A91" s="5"/>
      <c r="B91" s="5" t="s">
        <v>182</v>
      </c>
      <c r="C91" s="5">
        <v>477168.0</v>
      </c>
      <c r="D91" s="5">
        <v>47677.0</v>
      </c>
      <c r="E91" s="5">
        <v>50796.0</v>
      </c>
      <c r="F91" s="5">
        <v>52162.0</v>
      </c>
      <c r="G91" s="5">
        <v>51997.0</v>
      </c>
      <c r="H91" s="5">
        <v>43971.0</v>
      </c>
      <c r="I91" s="5">
        <v>35370.0</v>
      </c>
      <c r="J91" s="5">
        <v>30164.0</v>
      </c>
      <c r="K91" s="5">
        <v>26689.0</v>
      </c>
      <c r="L91" s="5">
        <v>25389.0</v>
      </c>
      <c r="M91" s="5">
        <v>23608.0</v>
      </c>
      <c r="N91" s="5">
        <v>21633.0</v>
      </c>
      <c r="O91" s="5">
        <v>18462.0</v>
      </c>
      <c r="P91" s="5">
        <v>15563.0</v>
      </c>
      <c r="Q91" s="5">
        <v>11577.0</v>
      </c>
      <c r="R91" s="5">
        <v>8994.0</v>
      </c>
      <c r="S91" s="5">
        <v>6470.0</v>
      </c>
      <c r="T91" s="5">
        <v>6646.0</v>
      </c>
      <c r="U91" s="5">
        <v>247333.0</v>
      </c>
      <c r="V91" s="5">
        <v>24743.0</v>
      </c>
      <c r="W91" s="5">
        <v>26346.0</v>
      </c>
      <c r="X91" s="5">
        <v>26946.0</v>
      </c>
      <c r="Y91" s="5">
        <v>26918.0</v>
      </c>
      <c r="Z91" s="5">
        <v>23069.0</v>
      </c>
      <c r="AA91" s="5">
        <v>18589.0</v>
      </c>
      <c r="AB91" s="5">
        <v>16125.0</v>
      </c>
      <c r="AC91" s="5">
        <v>14267.0</v>
      </c>
      <c r="AD91" s="5">
        <v>13552.0</v>
      </c>
      <c r="AE91" s="5">
        <v>12484.0</v>
      </c>
      <c r="AF91" s="5">
        <v>11293.0</v>
      </c>
      <c r="AG91" s="5">
        <v>9783.0</v>
      </c>
      <c r="AH91" s="5">
        <v>7895.0</v>
      </c>
      <c r="AI91" s="5">
        <v>5730.0</v>
      </c>
      <c r="AJ91" s="5">
        <v>4275.0</v>
      </c>
      <c r="AK91" s="5">
        <v>2876.0</v>
      </c>
      <c r="AL91" s="5">
        <v>2442.0</v>
      </c>
      <c r="AM91" s="5">
        <v>229835.0</v>
      </c>
      <c r="AN91" s="5">
        <v>22934.0</v>
      </c>
      <c r="AO91" s="5">
        <v>24450.0</v>
      </c>
      <c r="AP91" s="5">
        <v>25216.0</v>
      </c>
      <c r="AQ91" s="5">
        <v>25079.0</v>
      </c>
      <c r="AR91" s="5">
        <v>20902.0</v>
      </c>
      <c r="AS91" s="5">
        <v>16781.0</v>
      </c>
      <c r="AT91" s="5">
        <v>14039.0</v>
      </c>
      <c r="AU91" s="5">
        <v>12422.0</v>
      </c>
      <c r="AV91" s="5">
        <v>11837.0</v>
      </c>
      <c r="AW91" s="5">
        <v>11124.0</v>
      </c>
      <c r="AX91" s="5">
        <v>10340.0</v>
      </c>
      <c r="AY91" s="5">
        <v>8679.0</v>
      </c>
      <c r="AZ91" s="5">
        <v>7668.0</v>
      </c>
      <c r="BA91" s="5">
        <v>5847.0</v>
      </c>
      <c r="BB91" s="5">
        <v>4719.0</v>
      </c>
      <c r="BC91" s="5">
        <v>3594.0</v>
      </c>
      <c r="BD91" s="5">
        <v>4204.0</v>
      </c>
      <c r="BE91" s="4"/>
      <c r="BF91" s="4"/>
      <c r="BG91" s="4"/>
      <c r="BH91" s="4"/>
      <c r="BI91" s="4"/>
      <c r="BJ91" s="4"/>
    </row>
    <row r="92">
      <c r="A92" s="5"/>
      <c r="B92" s="5" t="s">
        <v>183</v>
      </c>
      <c r="C92" s="5">
        <v>1776847.0</v>
      </c>
      <c r="D92" s="5">
        <v>186843.0</v>
      </c>
      <c r="E92" s="5">
        <v>193017.0</v>
      </c>
      <c r="F92" s="5">
        <v>191175.0</v>
      </c>
      <c r="G92" s="5">
        <v>177642.0</v>
      </c>
      <c r="H92" s="5">
        <v>151597.0</v>
      </c>
      <c r="I92" s="5">
        <v>134326.0</v>
      </c>
      <c r="J92" s="5">
        <v>118737.0</v>
      </c>
      <c r="K92" s="5">
        <v>105446.0</v>
      </c>
      <c r="L92" s="5">
        <v>98246.0</v>
      </c>
      <c r="M92" s="5">
        <v>87451.0</v>
      </c>
      <c r="N92" s="5">
        <v>81040.0</v>
      </c>
      <c r="O92" s="5">
        <v>72060.0</v>
      </c>
      <c r="P92" s="5">
        <v>62138.0</v>
      </c>
      <c r="Q92" s="5">
        <v>45769.0</v>
      </c>
      <c r="R92" s="5">
        <v>32009.0</v>
      </c>
      <c r="S92" s="5">
        <v>20189.0</v>
      </c>
      <c r="T92" s="5">
        <v>19162.0</v>
      </c>
      <c r="U92" s="5">
        <v>912011.0</v>
      </c>
      <c r="V92" s="5">
        <v>96438.0</v>
      </c>
      <c r="W92" s="5">
        <v>100311.0</v>
      </c>
      <c r="X92" s="5">
        <v>99170.0</v>
      </c>
      <c r="Y92" s="5">
        <v>90936.0</v>
      </c>
      <c r="Z92" s="5">
        <v>78473.0</v>
      </c>
      <c r="AA92" s="5">
        <v>69416.0</v>
      </c>
      <c r="AB92" s="5">
        <v>62387.0</v>
      </c>
      <c r="AC92" s="5">
        <v>56062.0</v>
      </c>
      <c r="AD92" s="5">
        <v>52077.0</v>
      </c>
      <c r="AE92" s="5">
        <v>45845.0</v>
      </c>
      <c r="AF92" s="5">
        <v>41662.0</v>
      </c>
      <c r="AG92" s="5">
        <v>37170.0</v>
      </c>
      <c r="AH92" s="5">
        <v>31157.0</v>
      </c>
      <c r="AI92" s="5">
        <v>21948.0</v>
      </c>
      <c r="AJ92" s="5">
        <v>14297.0</v>
      </c>
      <c r="AK92" s="5">
        <v>8141.0</v>
      </c>
      <c r="AL92" s="5">
        <v>6521.0</v>
      </c>
      <c r="AM92" s="5">
        <v>864836.0</v>
      </c>
      <c r="AN92" s="5">
        <v>90405.0</v>
      </c>
      <c r="AO92" s="5">
        <v>92706.0</v>
      </c>
      <c r="AP92" s="5">
        <v>92005.0</v>
      </c>
      <c r="AQ92" s="5">
        <v>86706.0</v>
      </c>
      <c r="AR92" s="5">
        <v>73124.0</v>
      </c>
      <c r="AS92" s="5">
        <v>64910.0</v>
      </c>
      <c r="AT92" s="5">
        <v>56350.0</v>
      </c>
      <c r="AU92" s="5">
        <v>49384.0</v>
      </c>
      <c r="AV92" s="5">
        <v>46169.0</v>
      </c>
      <c r="AW92" s="5">
        <v>41606.0</v>
      </c>
      <c r="AX92" s="5">
        <v>39378.0</v>
      </c>
      <c r="AY92" s="5">
        <v>34890.0</v>
      </c>
      <c r="AZ92" s="5">
        <v>30981.0</v>
      </c>
      <c r="BA92" s="5">
        <v>23821.0</v>
      </c>
      <c r="BB92" s="5">
        <v>17712.0</v>
      </c>
      <c r="BC92" s="5">
        <v>12048.0</v>
      </c>
      <c r="BD92" s="5">
        <v>12641.0</v>
      </c>
      <c r="BE92" s="4"/>
      <c r="BF92" s="4"/>
      <c r="BG92" s="4"/>
      <c r="BH92" s="4"/>
      <c r="BI92" s="4"/>
      <c r="BJ92" s="4"/>
    </row>
    <row r="93">
      <c r="A93" s="5"/>
      <c r="B93" s="5" t="s">
        <v>184</v>
      </c>
      <c r="C93" s="5">
        <v>639186.0</v>
      </c>
      <c r="D93" s="5">
        <v>71196.0</v>
      </c>
      <c r="E93" s="5">
        <v>76389.0</v>
      </c>
      <c r="F93" s="5">
        <v>76385.0</v>
      </c>
      <c r="G93" s="5">
        <v>74179.0</v>
      </c>
      <c r="H93" s="5">
        <v>59548.0</v>
      </c>
      <c r="I93" s="5">
        <v>45597.0</v>
      </c>
      <c r="J93" s="5">
        <v>38116.0</v>
      </c>
      <c r="K93" s="5">
        <v>33579.0</v>
      </c>
      <c r="L93" s="5">
        <v>31954.0</v>
      </c>
      <c r="M93" s="5">
        <v>29913.0</v>
      </c>
      <c r="N93" s="5">
        <v>26534.0</v>
      </c>
      <c r="O93" s="5">
        <v>21979.0</v>
      </c>
      <c r="P93" s="5">
        <v>17848.0</v>
      </c>
      <c r="Q93" s="5">
        <v>13293.0</v>
      </c>
      <c r="R93" s="5">
        <v>9794.0</v>
      </c>
      <c r="S93" s="5">
        <v>6885.0</v>
      </c>
      <c r="T93" s="5">
        <v>5997.0</v>
      </c>
      <c r="U93" s="5">
        <v>327800.0</v>
      </c>
      <c r="V93" s="5">
        <v>36758.0</v>
      </c>
      <c r="W93" s="5">
        <v>39583.0</v>
      </c>
      <c r="X93" s="5">
        <v>39477.0</v>
      </c>
      <c r="Y93" s="5">
        <v>38182.0</v>
      </c>
      <c r="Z93" s="5">
        <v>31125.0</v>
      </c>
      <c r="AA93" s="5">
        <v>23783.0</v>
      </c>
      <c r="AB93" s="5">
        <v>20081.0</v>
      </c>
      <c r="AC93" s="5">
        <v>17652.0</v>
      </c>
      <c r="AD93" s="5">
        <v>16563.0</v>
      </c>
      <c r="AE93" s="5">
        <v>15428.0</v>
      </c>
      <c r="AF93" s="5">
        <v>13645.0</v>
      </c>
      <c r="AG93" s="5">
        <v>11003.0</v>
      </c>
      <c r="AH93" s="5">
        <v>8869.0</v>
      </c>
      <c r="AI93" s="5">
        <v>6282.0</v>
      </c>
      <c r="AJ93" s="5">
        <v>4350.0</v>
      </c>
      <c r="AK93" s="5">
        <v>2820.0</v>
      </c>
      <c r="AL93" s="5">
        <v>2199.0</v>
      </c>
      <c r="AM93" s="5">
        <v>311386.0</v>
      </c>
      <c r="AN93" s="5">
        <v>34438.0</v>
      </c>
      <c r="AO93" s="5">
        <v>36806.0</v>
      </c>
      <c r="AP93" s="5">
        <v>36908.0</v>
      </c>
      <c r="AQ93" s="5">
        <v>35997.0</v>
      </c>
      <c r="AR93" s="5">
        <v>28423.0</v>
      </c>
      <c r="AS93" s="5">
        <v>21814.0</v>
      </c>
      <c r="AT93" s="5">
        <v>18035.0</v>
      </c>
      <c r="AU93" s="5">
        <v>15927.0</v>
      </c>
      <c r="AV93" s="5">
        <v>15391.0</v>
      </c>
      <c r="AW93" s="5">
        <v>14485.0</v>
      </c>
      <c r="AX93" s="5">
        <v>12889.0</v>
      </c>
      <c r="AY93" s="5">
        <v>10976.0</v>
      </c>
      <c r="AZ93" s="5">
        <v>8979.0</v>
      </c>
      <c r="BA93" s="5">
        <v>7011.0</v>
      </c>
      <c r="BB93" s="5">
        <v>5444.0</v>
      </c>
      <c r="BC93" s="5">
        <v>4065.0</v>
      </c>
      <c r="BD93" s="5">
        <v>3798.0</v>
      </c>
      <c r="BE93" s="4"/>
      <c r="BF93" s="4"/>
      <c r="BG93" s="4"/>
      <c r="BH93" s="4"/>
      <c r="BI93" s="4"/>
      <c r="BJ93" s="4"/>
    </row>
    <row r="94">
      <c r="A94" s="5"/>
      <c r="B94" s="5" t="s">
        <v>185</v>
      </c>
      <c r="C94" s="5">
        <v>793183.0</v>
      </c>
      <c r="D94" s="5">
        <v>85418.0</v>
      </c>
      <c r="E94" s="5">
        <v>90736.0</v>
      </c>
      <c r="F94" s="5">
        <v>89274.0</v>
      </c>
      <c r="G94" s="5">
        <v>89168.0</v>
      </c>
      <c r="H94" s="5">
        <v>74149.0</v>
      </c>
      <c r="I94" s="5">
        <v>59324.0</v>
      </c>
      <c r="J94" s="5">
        <v>47522.0</v>
      </c>
      <c r="K94" s="5">
        <v>42671.0</v>
      </c>
      <c r="L94" s="5">
        <v>41079.0</v>
      </c>
      <c r="M94" s="5">
        <v>39168.0</v>
      </c>
      <c r="N94" s="5">
        <v>35166.0</v>
      </c>
      <c r="O94" s="5">
        <v>28988.0</v>
      </c>
      <c r="P94" s="5">
        <v>23946.0</v>
      </c>
      <c r="Q94" s="5">
        <v>17176.0</v>
      </c>
      <c r="R94" s="5">
        <v>12757.0</v>
      </c>
      <c r="S94" s="5">
        <v>8769.0</v>
      </c>
      <c r="T94" s="5">
        <v>7872.0</v>
      </c>
      <c r="U94" s="5">
        <v>408395.0</v>
      </c>
      <c r="V94" s="5">
        <v>44040.0</v>
      </c>
      <c r="W94" s="5">
        <v>47170.0</v>
      </c>
      <c r="X94" s="5">
        <v>45937.0</v>
      </c>
      <c r="Y94" s="5">
        <v>45615.0</v>
      </c>
      <c r="Z94" s="5">
        <v>38432.0</v>
      </c>
      <c r="AA94" s="5">
        <v>31082.0</v>
      </c>
      <c r="AB94" s="5">
        <v>25225.0</v>
      </c>
      <c r="AC94" s="5">
        <v>22401.0</v>
      </c>
      <c r="AD94" s="5">
        <v>21658.0</v>
      </c>
      <c r="AE94" s="5">
        <v>20599.0</v>
      </c>
      <c r="AF94" s="5">
        <v>18364.0</v>
      </c>
      <c r="AG94" s="5">
        <v>15072.0</v>
      </c>
      <c r="AH94" s="5">
        <v>12165.0</v>
      </c>
      <c r="AI94" s="5">
        <v>8348.0</v>
      </c>
      <c r="AJ94" s="5">
        <v>5586.0</v>
      </c>
      <c r="AK94" s="5">
        <v>3718.0</v>
      </c>
      <c r="AL94" s="5">
        <v>2983.0</v>
      </c>
      <c r="AM94" s="5">
        <v>384788.0</v>
      </c>
      <c r="AN94" s="5">
        <v>41378.0</v>
      </c>
      <c r="AO94" s="5">
        <v>43566.0</v>
      </c>
      <c r="AP94" s="5">
        <v>43337.0</v>
      </c>
      <c r="AQ94" s="5">
        <v>43553.0</v>
      </c>
      <c r="AR94" s="5">
        <v>35717.0</v>
      </c>
      <c r="AS94" s="5">
        <v>28242.0</v>
      </c>
      <c r="AT94" s="5">
        <v>22297.0</v>
      </c>
      <c r="AU94" s="5">
        <v>20270.0</v>
      </c>
      <c r="AV94" s="5">
        <v>19421.0</v>
      </c>
      <c r="AW94" s="5">
        <v>18569.0</v>
      </c>
      <c r="AX94" s="5">
        <v>16802.0</v>
      </c>
      <c r="AY94" s="5">
        <v>13916.0</v>
      </c>
      <c r="AZ94" s="5">
        <v>11781.0</v>
      </c>
      <c r="BA94" s="5">
        <v>8828.0</v>
      </c>
      <c r="BB94" s="5">
        <v>7171.0</v>
      </c>
      <c r="BC94" s="5">
        <v>5051.0</v>
      </c>
      <c r="BD94" s="5">
        <v>4889.0</v>
      </c>
      <c r="BE94" s="4"/>
      <c r="BF94" s="4"/>
      <c r="BG94" s="4"/>
      <c r="BH94" s="4"/>
      <c r="BI94" s="4"/>
      <c r="BJ94" s="4"/>
    </row>
    <row r="95">
      <c r="A95" s="5"/>
      <c r="B95" s="5" t="s">
        <v>186</v>
      </c>
      <c r="C95" s="5">
        <v>429573.0</v>
      </c>
      <c r="D95" s="5">
        <v>39643.0</v>
      </c>
      <c r="E95" s="5">
        <v>41230.0</v>
      </c>
      <c r="F95" s="5">
        <v>43552.0</v>
      </c>
      <c r="G95" s="5">
        <v>42905.0</v>
      </c>
      <c r="H95" s="5">
        <v>35757.0</v>
      </c>
      <c r="I95" s="5">
        <v>30470.0</v>
      </c>
      <c r="J95" s="5">
        <v>28263.0</v>
      </c>
      <c r="K95" s="5">
        <v>25777.0</v>
      </c>
      <c r="L95" s="5">
        <v>25236.0</v>
      </c>
      <c r="M95" s="5">
        <v>22348.0</v>
      </c>
      <c r="N95" s="5">
        <v>22290.0</v>
      </c>
      <c r="O95" s="5">
        <v>19675.0</v>
      </c>
      <c r="P95" s="5">
        <v>16945.0</v>
      </c>
      <c r="Q95" s="5">
        <v>12588.0</v>
      </c>
      <c r="R95" s="5">
        <v>9695.0</v>
      </c>
      <c r="S95" s="5">
        <v>6519.0</v>
      </c>
      <c r="T95" s="5">
        <v>6680.0</v>
      </c>
      <c r="U95" s="5">
        <v>218819.0</v>
      </c>
      <c r="V95" s="5">
        <v>20716.0</v>
      </c>
      <c r="W95" s="5">
        <v>21610.0</v>
      </c>
      <c r="X95" s="5">
        <v>22680.0</v>
      </c>
      <c r="Y95" s="5">
        <v>22152.0</v>
      </c>
      <c r="Z95" s="5">
        <v>18415.0</v>
      </c>
      <c r="AA95" s="5">
        <v>15616.0</v>
      </c>
      <c r="AB95" s="5">
        <v>14598.0</v>
      </c>
      <c r="AC95" s="5">
        <v>13178.0</v>
      </c>
      <c r="AD95" s="5">
        <v>12970.0</v>
      </c>
      <c r="AE95" s="5">
        <v>11649.0</v>
      </c>
      <c r="AF95" s="5">
        <v>11445.0</v>
      </c>
      <c r="AG95" s="5">
        <v>9918.0</v>
      </c>
      <c r="AH95" s="5">
        <v>8427.0</v>
      </c>
      <c r="AI95" s="5">
        <v>5970.0</v>
      </c>
      <c r="AJ95" s="5">
        <v>4356.0</v>
      </c>
      <c r="AK95" s="5">
        <v>2720.0</v>
      </c>
      <c r="AL95" s="5">
        <v>2399.0</v>
      </c>
      <c r="AM95" s="5">
        <v>210754.0</v>
      </c>
      <c r="AN95" s="5">
        <v>18927.0</v>
      </c>
      <c r="AO95" s="5">
        <v>19620.0</v>
      </c>
      <c r="AP95" s="5">
        <v>20872.0</v>
      </c>
      <c r="AQ95" s="5">
        <v>20753.0</v>
      </c>
      <c r="AR95" s="5">
        <v>17342.0</v>
      </c>
      <c r="AS95" s="5">
        <v>14854.0</v>
      </c>
      <c r="AT95" s="5">
        <v>13665.0</v>
      </c>
      <c r="AU95" s="5">
        <v>12599.0</v>
      </c>
      <c r="AV95" s="5">
        <v>12266.0</v>
      </c>
      <c r="AW95" s="5">
        <v>10699.0</v>
      </c>
      <c r="AX95" s="5">
        <v>10845.0</v>
      </c>
      <c r="AY95" s="5">
        <v>9757.0</v>
      </c>
      <c r="AZ95" s="5">
        <v>8518.0</v>
      </c>
      <c r="BA95" s="5">
        <v>6618.0</v>
      </c>
      <c r="BB95" s="5">
        <v>5339.0</v>
      </c>
      <c r="BC95" s="5">
        <v>3799.0</v>
      </c>
      <c r="BD95" s="5">
        <v>4281.0</v>
      </c>
      <c r="BE95" s="4"/>
      <c r="BF95" s="4"/>
      <c r="BG95" s="4"/>
      <c r="BH95" s="4"/>
      <c r="BI95" s="4"/>
      <c r="BJ95" s="4"/>
    </row>
    <row r="96">
      <c r="A96" s="5"/>
      <c r="B96" s="5" t="s">
        <v>187</v>
      </c>
      <c r="C96" s="5">
        <v>251881.0</v>
      </c>
      <c r="D96" s="5">
        <v>26934.0</v>
      </c>
      <c r="E96" s="5">
        <v>26807.0</v>
      </c>
      <c r="F96" s="5">
        <v>24734.0</v>
      </c>
      <c r="G96" s="5">
        <v>24346.0</v>
      </c>
      <c r="H96" s="5">
        <v>25805.0</v>
      </c>
      <c r="I96" s="5">
        <v>22062.0</v>
      </c>
      <c r="J96" s="5">
        <v>18451.0</v>
      </c>
      <c r="K96" s="5">
        <v>16157.0</v>
      </c>
      <c r="L96" s="5">
        <v>14021.0</v>
      </c>
      <c r="M96" s="5">
        <v>12145.0</v>
      </c>
      <c r="N96" s="5">
        <v>10928.0</v>
      </c>
      <c r="O96" s="5">
        <v>9463.0</v>
      </c>
      <c r="P96" s="5">
        <v>7657.0</v>
      </c>
      <c r="Q96" s="5">
        <v>5131.0</v>
      </c>
      <c r="R96" s="5">
        <v>3424.0</v>
      </c>
      <c r="S96" s="5">
        <v>2007.0</v>
      </c>
      <c r="T96" s="5">
        <v>1809.0</v>
      </c>
      <c r="U96" s="5">
        <v>127545.0</v>
      </c>
      <c r="V96" s="5">
        <v>13893.0</v>
      </c>
      <c r="W96" s="5">
        <v>13925.0</v>
      </c>
      <c r="X96" s="5">
        <v>12773.0</v>
      </c>
      <c r="Y96" s="5">
        <v>12348.0</v>
      </c>
      <c r="Z96" s="5">
        <v>13116.0</v>
      </c>
      <c r="AA96" s="5">
        <v>11304.0</v>
      </c>
      <c r="AB96" s="5">
        <v>9493.0</v>
      </c>
      <c r="AC96" s="5">
        <v>8424.0</v>
      </c>
      <c r="AD96" s="5">
        <v>7210.0</v>
      </c>
      <c r="AE96" s="5">
        <v>6173.0</v>
      </c>
      <c r="AF96" s="5">
        <v>5447.0</v>
      </c>
      <c r="AG96" s="5">
        <v>4682.0</v>
      </c>
      <c r="AH96" s="5">
        <v>3695.0</v>
      </c>
      <c r="AI96" s="5">
        <v>2298.0</v>
      </c>
      <c r="AJ96" s="5">
        <v>1414.0</v>
      </c>
      <c r="AK96" s="5">
        <v>784.0</v>
      </c>
      <c r="AL96" s="5">
        <v>566.0</v>
      </c>
      <c r="AM96" s="5">
        <v>124336.0</v>
      </c>
      <c r="AN96" s="5">
        <v>13041.0</v>
      </c>
      <c r="AO96" s="5">
        <v>12882.0</v>
      </c>
      <c r="AP96" s="5">
        <v>11961.0</v>
      </c>
      <c r="AQ96" s="5">
        <v>11998.0</v>
      </c>
      <c r="AR96" s="5">
        <v>12689.0</v>
      </c>
      <c r="AS96" s="5">
        <v>10758.0</v>
      </c>
      <c r="AT96" s="5">
        <v>8958.0</v>
      </c>
      <c r="AU96" s="5">
        <v>7733.0</v>
      </c>
      <c r="AV96" s="5">
        <v>6811.0</v>
      </c>
      <c r="AW96" s="5">
        <v>5972.0</v>
      </c>
      <c r="AX96" s="5">
        <v>5481.0</v>
      </c>
      <c r="AY96" s="5">
        <v>4781.0</v>
      </c>
      <c r="AZ96" s="5">
        <v>3962.0</v>
      </c>
      <c r="BA96" s="5">
        <v>2833.0</v>
      </c>
      <c r="BB96" s="5">
        <v>2010.0</v>
      </c>
      <c r="BC96" s="5">
        <v>1223.0</v>
      </c>
      <c r="BD96" s="5">
        <v>1243.0</v>
      </c>
      <c r="BE96" s="4"/>
      <c r="BF96" s="4"/>
      <c r="BG96" s="4"/>
      <c r="BH96" s="4"/>
      <c r="BI96" s="4"/>
      <c r="BJ96" s="4"/>
    </row>
    <row r="97">
      <c r="A97" s="5"/>
      <c r="B97" s="5" t="s">
        <v>188</v>
      </c>
      <c r="C97" s="5">
        <v>3875576.0</v>
      </c>
      <c r="D97" s="5">
        <v>426424.0</v>
      </c>
      <c r="E97" s="5">
        <v>443026.0</v>
      </c>
      <c r="F97" s="5">
        <v>427065.0</v>
      </c>
      <c r="G97" s="5">
        <v>397063.0</v>
      </c>
      <c r="H97" s="5">
        <v>355135.0</v>
      </c>
      <c r="I97" s="5">
        <v>313454.0</v>
      </c>
      <c r="J97" s="5">
        <v>266218.0</v>
      </c>
      <c r="K97" s="5">
        <v>229557.0</v>
      </c>
      <c r="L97" s="5">
        <v>211774.0</v>
      </c>
      <c r="M97" s="5">
        <v>187800.0</v>
      </c>
      <c r="N97" s="5">
        <v>166390.0</v>
      </c>
      <c r="O97" s="5">
        <v>139685.0</v>
      </c>
      <c r="P97" s="5">
        <v>114058.0</v>
      </c>
      <c r="Q97" s="5">
        <v>83016.0</v>
      </c>
      <c r="R97" s="5">
        <v>52039.0</v>
      </c>
      <c r="S97" s="5">
        <v>31819.0</v>
      </c>
      <c r="T97" s="5">
        <v>31053.0</v>
      </c>
      <c r="U97" s="5">
        <v>1976820.0</v>
      </c>
      <c r="V97" s="5">
        <v>218922.0</v>
      </c>
      <c r="W97" s="5">
        <v>228684.0</v>
      </c>
      <c r="X97" s="5">
        <v>218621.0</v>
      </c>
      <c r="Y97" s="5">
        <v>202003.0</v>
      </c>
      <c r="Z97" s="5">
        <v>180769.0</v>
      </c>
      <c r="AA97" s="5">
        <v>160831.0</v>
      </c>
      <c r="AB97" s="5">
        <v>138419.0</v>
      </c>
      <c r="AC97" s="5">
        <v>119860.0</v>
      </c>
      <c r="AD97" s="5">
        <v>110858.0</v>
      </c>
      <c r="AE97" s="5">
        <v>96893.0</v>
      </c>
      <c r="AF97" s="5">
        <v>84816.0</v>
      </c>
      <c r="AG97" s="5">
        <v>71189.0</v>
      </c>
      <c r="AH97" s="5">
        <v>56363.0</v>
      </c>
      <c r="AI97" s="5">
        <v>40068.0</v>
      </c>
      <c r="AJ97" s="5">
        <v>23397.0</v>
      </c>
      <c r="AK97" s="5">
        <v>13490.0</v>
      </c>
      <c r="AL97" s="5">
        <v>11637.0</v>
      </c>
      <c r="AM97" s="5">
        <v>1898756.0</v>
      </c>
      <c r="AN97" s="5">
        <v>207502.0</v>
      </c>
      <c r="AO97" s="5">
        <v>214342.0</v>
      </c>
      <c r="AP97" s="5">
        <v>208444.0</v>
      </c>
      <c r="AQ97" s="5">
        <v>195060.0</v>
      </c>
      <c r="AR97" s="5">
        <v>174366.0</v>
      </c>
      <c r="AS97" s="5">
        <v>152623.0</v>
      </c>
      <c r="AT97" s="5">
        <v>127799.0</v>
      </c>
      <c r="AU97" s="5">
        <v>109697.0</v>
      </c>
      <c r="AV97" s="5">
        <v>100916.0</v>
      </c>
      <c r="AW97" s="5">
        <v>90907.0</v>
      </c>
      <c r="AX97" s="5">
        <v>81574.0</v>
      </c>
      <c r="AY97" s="5">
        <v>68496.0</v>
      </c>
      <c r="AZ97" s="5">
        <v>57695.0</v>
      </c>
      <c r="BA97" s="5">
        <v>42948.0</v>
      </c>
      <c r="BB97" s="5">
        <v>28642.0</v>
      </c>
      <c r="BC97" s="5">
        <v>18329.0</v>
      </c>
      <c r="BD97" s="5">
        <v>19416.0</v>
      </c>
      <c r="BE97" s="4"/>
      <c r="BF97" s="4"/>
      <c r="BG97" s="4"/>
      <c r="BH97" s="4"/>
      <c r="BI97" s="4"/>
      <c r="BJ97" s="4"/>
    </row>
    <row r="98">
      <c r="A98" s="5"/>
      <c r="B98" s="5" t="s">
        <v>189</v>
      </c>
      <c r="C98" s="5">
        <v>1047455.0</v>
      </c>
      <c r="D98" s="5">
        <v>120442.0</v>
      </c>
      <c r="E98" s="5">
        <v>120273.0</v>
      </c>
      <c r="F98" s="5">
        <v>115274.0</v>
      </c>
      <c r="G98" s="5">
        <v>107175.0</v>
      </c>
      <c r="H98" s="5">
        <v>92182.0</v>
      </c>
      <c r="I98" s="5">
        <v>79816.0</v>
      </c>
      <c r="J98" s="5">
        <v>68165.0</v>
      </c>
      <c r="K98" s="5">
        <v>59513.0</v>
      </c>
      <c r="L98" s="5">
        <v>55052.0</v>
      </c>
      <c r="M98" s="5">
        <v>51224.0</v>
      </c>
      <c r="N98" s="5">
        <v>46135.0</v>
      </c>
      <c r="O98" s="5">
        <v>39598.0</v>
      </c>
      <c r="P98" s="5">
        <v>32315.0</v>
      </c>
      <c r="Q98" s="5">
        <v>24243.0</v>
      </c>
      <c r="R98" s="5">
        <v>15552.0</v>
      </c>
      <c r="S98" s="5">
        <v>10498.0</v>
      </c>
      <c r="T98" s="5">
        <v>9998.0</v>
      </c>
      <c r="U98" s="5">
        <v>537198.0</v>
      </c>
      <c r="V98" s="5">
        <v>62010.0</v>
      </c>
      <c r="W98" s="5">
        <v>62394.0</v>
      </c>
      <c r="X98" s="5">
        <v>59277.0</v>
      </c>
      <c r="Y98" s="5">
        <v>54946.0</v>
      </c>
      <c r="Z98" s="5">
        <v>47086.0</v>
      </c>
      <c r="AA98" s="5">
        <v>41269.0</v>
      </c>
      <c r="AB98" s="5">
        <v>35755.0</v>
      </c>
      <c r="AC98" s="5">
        <v>31285.0</v>
      </c>
      <c r="AD98" s="5">
        <v>28865.0</v>
      </c>
      <c r="AE98" s="5">
        <v>26484.0</v>
      </c>
      <c r="AF98" s="5">
        <v>23734.0</v>
      </c>
      <c r="AG98" s="5">
        <v>20493.0</v>
      </c>
      <c r="AH98" s="5">
        <v>16205.0</v>
      </c>
      <c r="AI98" s="5">
        <v>11800.0</v>
      </c>
      <c r="AJ98" s="5">
        <v>7162.0</v>
      </c>
      <c r="AK98" s="5">
        <v>4607.0</v>
      </c>
      <c r="AL98" s="5">
        <v>3826.0</v>
      </c>
      <c r="AM98" s="5">
        <v>510257.0</v>
      </c>
      <c r="AN98" s="5">
        <v>58432.0</v>
      </c>
      <c r="AO98" s="5">
        <v>57879.0</v>
      </c>
      <c r="AP98" s="5">
        <v>55997.0</v>
      </c>
      <c r="AQ98" s="5">
        <v>52229.0</v>
      </c>
      <c r="AR98" s="5">
        <v>45096.0</v>
      </c>
      <c r="AS98" s="5">
        <v>38547.0</v>
      </c>
      <c r="AT98" s="5">
        <v>32410.0</v>
      </c>
      <c r="AU98" s="5">
        <v>28228.0</v>
      </c>
      <c r="AV98" s="5">
        <v>26187.0</v>
      </c>
      <c r="AW98" s="5">
        <v>24740.0</v>
      </c>
      <c r="AX98" s="5">
        <v>22401.0</v>
      </c>
      <c r="AY98" s="5">
        <v>19105.0</v>
      </c>
      <c r="AZ98" s="5">
        <v>16110.0</v>
      </c>
      <c r="BA98" s="5">
        <v>12443.0</v>
      </c>
      <c r="BB98" s="5">
        <v>8390.0</v>
      </c>
      <c r="BC98" s="5">
        <v>5891.0</v>
      </c>
      <c r="BD98" s="5">
        <v>6172.0</v>
      </c>
      <c r="BE98" s="4"/>
      <c r="BF98" s="4"/>
      <c r="BG98" s="4"/>
      <c r="BH98" s="4"/>
      <c r="BI98" s="4"/>
      <c r="BJ98" s="4"/>
    </row>
    <row r="99">
      <c r="A99" s="5"/>
      <c r="B99" s="5" t="s">
        <v>190</v>
      </c>
      <c r="C99" s="5">
        <v>1050668.0</v>
      </c>
      <c r="D99" s="5">
        <v>117637.0</v>
      </c>
      <c r="E99" s="5">
        <v>120236.0</v>
      </c>
      <c r="F99" s="5">
        <v>117309.0</v>
      </c>
      <c r="G99" s="5">
        <v>108968.0</v>
      </c>
      <c r="H99" s="5">
        <v>94408.0</v>
      </c>
      <c r="I99" s="5">
        <v>84372.0</v>
      </c>
      <c r="J99" s="5">
        <v>71499.0</v>
      </c>
      <c r="K99" s="5">
        <v>59911.0</v>
      </c>
      <c r="L99" s="5">
        <v>56409.0</v>
      </c>
      <c r="M99" s="5">
        <v>49949.0</v>
      </c>
      <c r="N99" s="5">
        <v>44683.0</v>
      </c>
      <c r="O99" s="5">
        <v>38638.0</v>
      </c>
      <c r="P99" s="5">
        <v>31686.0</v>
      </c>
      <c r="Q99" s="5">
        <v>22738.0</v>
      </c>
      <c r="R99" s="5">
        <v>14234.0</v>
      </c>
      <c r="S99" s="5">
        <v>8820.0</v>
      </c>
      <c r="T99" s="5">
        <v>9171.0</v>
      </c>
      <c r="U99" s="5">
        <v>536990.0</v>
      </c>
      <c r="V99" s="5">
        <v>60162.0</v>
      </c>
      <c r="W99" s="5">
        <v>62011.0</v>
      </c>
      <c r="X99" s="5">
        <v>60031.0</v>
      </c>
      <c r="Y99" s="5">
        <v>55513.0</v>
      </c>
      <c r="Z99" s="5">
        <v>48198.0</v>
      </c>
      <c r="AA99" s="5">
        <v>43360.0</v>
      </c>
      <c r="AB99" s="5">
        <v>37491.0</v>
      </c>
      <c r="AC99" s="5">
        <v>31668.0</v>
      </c>
      <c r="AD99" s="5">
        <v>29944.0</v>
      </c>
      <c r="AE99" s="5">
        <v>25944.0</v>
      </c>
      <c r="AF99" s="5">
        <v>22733.0</v>
      </c>
      <c r="AG99" s="5">
        <v>19649.0</v>
      </c>
      <c r="AH99" s="5">
        <v>15702.0</v>
      </c>
      <c r="AI99" s="5">
        <v>10882.0</v>
      </c>
      <c r="AJ99" s="5">
        <v>6429.0</v>
      </c>
      <c r="AK99" s="5">
        <v>3736.0</v>
      </c>
      <c r="AL99" s="5">
        <v>3537.0</v>
      </c>
      <c r="AM99" s="5">
        <v>513678.0</v>
      </c>
      <c r="AN99" s="5">
        <v>57475.0</v>
      </c>
      <c r="AO99" s="5">
        <v>58225.0</v>
      </c>
      <c r="AP99" s="5">
        <v>57278.0</v>
      </c>
      <c r="AQ99" s="5">
        <v>53455.0</v>
      </c>
      <c r="AR99" s="5">
        <v>46210.0</v>
      </c>
      <c r="AS99" s="5">
        <v>41012.0</v>
      </c>
      <c r="AT99" s="5">
        <v>34008.0</v>
      </c>
      <c r="AU99" s="5">
        <v>28243.0</v>
      </c>
      <c r="AV99" s="5">
        <v>26465.0</v>
      </c>
      <c r="AW99" s="5">
        <v>24005.0</v>
      </c>
      <c r="AX99" s="5">
        <v>21950.0</v>
      </c>
      <c r="AY99" s="5">
        <v>18989.0</v>
      </c>
      <c r="AZ99" s="5">
        <v>15984.0</v>
      </c>
      <c r="BA99" s="5">
        <v>11856.0</v>
      </c>
      <c r="BB99" s="5">
        <v>7805.0</v>
      </c>
      <c r="BC99" s="5">
        <v>5084.0</v>
      </c>
      <c r="BD99" s="5">
        <v>5634.0</v>
      </c>
      <c r="BE99" s="4"/>
      <c r="BF99" s="4"/>
      <c r="BG99" s="4"/>
      <c r="BH99" s="4"/>
      <c r="BI99" s="4"/>
      <c r="BJ99" s="4"/>
    </row>
    <row r="100">
      <c r="A100" s="5"/>
      <c r="B100" s="5" t="s">
        <v>191</v>
      </c>
      <c r="C100" s="5">
        <v>669840.0</v>
      </c>
      <c r="D100" s="5">
        <v>72720.0</v>
      </c>
      <c r="E100" s="5">
        <v>80838.0</v>
      </c>
      <c r="F100" s="5">
        <v>78661.0</v>
      </c>
      <c r="G100" s="5">
        <v>71228.0</v>
      </c>
      <c r="H100" s="5">
        <v>58357.0</v>
      </c>
      <c r="I100" s="5">
        <v>53195.0</v>
      </c>
      <c r="J100" s="5">
        <v>45909.0</v>
      </c>
      <c r="K100" s="5">
        <v>39081.0</v>
      </c>
      <c r="L100" s="5">
        <v>35583.0</v>
      </c>
      <c r="M100" s="5">
        <v>31503.0</v>
      </c>
      <c r="N100" s="5">
        <v>28441.0</v>
      </c>
      <c r="O100" s="5">
        <v>23346.0</v>
      </c>
      <c r="P100" s="5">
        <v>18908.0</v>
      </c>
      <c r="Q100" s="5">
        <v>13532.0</v>
      </c>
      <c r="R100" s="5">
        <v>8370.0</v>
      </c>
      <c r="S100" s="5">
        <v>5187.0</v>
      </c>
      <c r="T100" s="5">
        <v>4981.0</v>
      </c>
      <c r="U100" s="5">
        <v>343163.0</v>
      </c>
      <c r="V100" s="5">
        <v>37584.0</v>
      </c>
      <c r="W100" s="5">
        <v>41760.0</v>
      </c>
      <c r="X100" s="5">
        <v>40251.0</v>
      </c>
      <c r="Y100" s="5">
        <v>36308.0</v>
      </c>
      <c r="Z100" s="5">
        <v>29609.0</v>
      </c>
      <c r="AA100" s="5">
        <v>27072.0</v>
      </c>
      <c r="AB100" s="5">
        <v>23851.0</v>
      </c>
      <c r="AC100" s="5">
        <v>20439.0</v>
      </c>
      <c r="AD100" s="5">
        <v>18797.0</v>
      </c>
      <c r="AE100" s="5">
        <v>16416.0</v>
      </c>
      <c r="AF100" s="5">
        <v>14695.0</v>
      </c>
      <c r="AG100" s="5">
        <v>11995.0</v>
      </c>
      <c r="AH100" s="5">
        <v>9498.0</v>
      </c>
      <c r="AI100" s="5">
        <v>6728.0</v>
      </c>
      <c r="AJ100" s="5">
        <v>3841.0</v>
      </c>
      <c r="AK100" s="5">
        <v>2293.0</v>
      </c>
      <c r="AL100" s="5">
        <v>2026.0</v>
      </c>
      <c r="AM100" s="5">
        <v>326677.0</v>
      </c>
      <c r="AN100" s="5">
        <v>35136.0</v>
      </c>
      <c r="AO100" s="5">
        <v>39078.0</v>
      </c>
      <c r="AP100" s="5">
        <v>38410.0</v>
      </c>
      <c r="AQ100" s="5">
        <v>34920.0</v>
      </c>
      <c r="AR100" s="5">
        <v>28748.0</v>
      </c>
      <c r="AS100" s="5">
        <v>26123.0</v>
      </c>
      <c r="AT100" s="5">
        <v>22058.0</v>
      </c>
      <c r="AU100" s="5">
        <v>18642.0</v>
      </c>
      <c r="AV100" s="5">
        <v>16786.0</v>
      </c>
      <c r="AW100" s="5">
        <v>15087.0</v>
      </c>
      <c r="AX100" s="5">
        <v>13746.0</v>
      </c>
      <c r="AY100" s="5">
        <v>11351.0</v>
      </c>
      <c r="AZ100" s="5">
        <v>9410.0</v>
      </c>
      <c r="BA100" s="5">
        <v>6804.0</v>
      </c>
      <c r="BB100" s="5">
        <v>4529.0</v>
      </c>
      <c r="BC100" s="5">
        <v>2894.0</v>
      </c>
      <c r="BD100" s="5">
        <v>2955.0</v>
      </c>
      <c r="BE100" s="4"/>
      <c r="BF100" s="4"/>
      <c r="BG100" s="4"/>
      <c r="BH100" s="4"/>
      <c r="BI100" s="4"/>
      <c r="BJ100" s="4"/>
    </row>
    <row r="101">
      <c r="A101" s="5"/>
      <c r="B101" s="5" t="s">
        <v>192</v>
      </c>
      <c r="C101" s="5">
        <v>130379.0</v>
      </c>
      <c r="D101" s="5">
        <v>16709.0</v>
      </c>
      <c r="E101" s="5">
        <v>15678.0</v>
      </c>
      <c r="F101" s="5">
        <v>14748.0</v>
      </c>
      <c r="G101" s="5">
        <v>13418.0</v>
      </c>
      <c r="H101" s="5">
        <v>12845.0</v>
      </c>
      <c r="I101" s="5">
        <v>10652.0</v>
      </c>
      <c r="J101" s="5">
        <v>8940.0</v>
      </c>
      <c r="K101" s="5">
        <v>7581.0</v>
      </c>
      <c r="L101" s="5">
        <v>6693.0</v>
      </c>
      <c r="M101" s="5">
        <v>5806.0</v>
      </c>
      <c r="N101" s="5">
        <v>4982.0</v>
      </c>
      <c r="O101" s="5">
        <v>3967.0</v>
      </c>
      <c r="P101" s="5">
        <v>3110.0</v>
      </c>
      <c r="Q101" s="5">
        <v>2321.0</v>
      </c>
      <c r="R101" s="5">
        <v>1428.0</v>
      </c>
      <c r="S101" s="5">
        <v>735.0</v>
      </c>
      <c r="T101" s="5">
        <v>766.0</v>
      </c>
      <c r="U101" s="5">
        <v>65675.0</v>
      </c>
      <c r="V101" s="5">
        <v>8700.0</v>
      </c>
      <c r="W101" s="5">
        <v>8067.0</v>
      </c>
      <c r="X101" s="5">
        <v>7495.0</v>
      </c>
      <c r="Y101" s="5">
        <v>6659.0</v>
      </c>
      <c r="Z101" s="5">
        <v>6493.0</v>
      </c>
      <c r="AA101" s="5">
        <v>5306.0</v>
      </c>
      <c r="AB101" s="5">
        <v>4516.0</v>
      </c>
      <c r="AC101" s="5">
        <v>3729.0</v>
      </c>
      <c r="AD101" s="5">
        <v>3403.0</v>
      </c>
      <c r="AE101" s="5">
        <v>2881.0</v>
      </c>
      <c r="AF101" s="5">
        <v>2574.0</v>
      </c>
      <c r="AG101" s="5">
        <v>2043.0</v>
      </c>
      <c r="AH101" s="5">
        <v>1508.0</v>
      </c>
      <c r="AI101" s="5">
        <v>1119.0</v>
      </c>
      <c r="AJ101" s="5">
        <v>639.0</v>
      </c>
      <c r="AK101" s="5">
        <v>296.0</v>
      </c>
      <c r="AL101" s="5">
        <v>247.0</v>
      </c>
      <c r="AM101" s="5">
        <v>64704.0</v>
      </c>
      <c r="AN101" s="5">
        <v>8009.0</v>
      </c>
      <c r="AO101" s="5">
        <v>7611.0</v>
      </c>
      <c r="AP101" s="5">
        <v>7253.0</v>
      </c>
      <c r="AQ101" s="5">
        <v>6759.0</v>
      </c>
      <c r="AR101" s="5">
        <v>6352.0</v>
      </c>
      <c r="AS101" s="5">
        <v>5346.0</v>
      </c>
      <c r="AT101" s="5">
        <v>4424.0</v>
      </c>
      <c r="AU101" s="5">
        <v>3852.0</v>
      </c>
      <c r="AV101" s="5">
        <v>3290.0</v>
      </c>
      <c r="AW101" s="5">
        <v>2925.0</v>
      </c>
      <c r="AX101" s="5">
        <v>2408.0</v>
      </c>
      <c r="AY101" s="5">
        <v>1924.0</v>
      </c>
      <c r="AZ101" s="5">
        <v>1602.0</v>
      </c>
      <c r="BA101" s="5">
        <v>1202.0</v>
      </c>
      <c r="BB101" s="5">
        <v>789.0</v>
      </c>
      <c r="BC101" s="5">
        <v>439.0</v>
      </c>
      <c r="BD101" s="5">
        <v>519.0</v>
      </c>
      <c r="BE101" s="4"/>
      <c r="BF101" s="4"/>
      <c r="BG101" s="4"/>
      <c r="BH101" s="4"/>
      <c r="BI101" s="4"/>
      <c r="BJ101" s="4"/>
    </row>
    <row r="102">
      <c r="A102" s="5"/>
      <c r="B102" s="5" t="s">
        <v>193</v>
      </c>
      <c r="C102" s="5">
        <v>977234.0</v>
      </c>
      <c r="D102" s="5">
        <v>98916.0</v>
      </c>
      <c r="E102" s="5">
        <v>106001.0</v>
      </c>
      <c r="F102" s="5">
        <v>101073.0</v>
      </c>
      <c r="G102" s="5">
        <v>96274.0</v>
      </c>
      <c r="H102" s="5">
        <v>97343.0</v>
      </c>
      <c r="I102" s="5">
        <v>85419.0</v>
      </c>
      <c r="J102" s="5">
        <v>71705.0</v>
      </c>
      <c r="K102" s="5">
        <v>63471.0</v>
      </c>
      <c r="L102" s="5">
        <v>58037.0</v>
      </c>
      <c r="M102" s="5">
        <v>49318.0</v>
      </c>
      <c r="N102" s="5">
        <v>42149.0</v>
      </c>
      <c r="O102" s="5">
        <v>34136.0</v>
      </c>
      <c r="P102" s="5">
        <v>28039.0</v>
      </c>
      <c r="Q102" s="5">
        <v>20182.0</v>
      </c>
      <c r="R102" s="5">
        <v>12455.0</v>
      </c>
      <c r="S102" s="5">
        <v>6579.0</v>
      </c>
      <c r="T102" s="5">
        <v>6137.0</v>
      </c>
      <c r="U102" s="5">
        <v>493794.0</v>
      </c>
      <c r="V102" s="5">
        <v>50466.0</v>
      </c>
      <c r="W102" s="5">
        <v>54452.0</v>
      </c>
      <c r="X102" s="5">
        <v>51567.0</v>
      </c>
      <c r="Y102" s="5">
        <v>48577.0</v>
      </c>
      <c r="Z102" s="5">
        <v>49383.0</v>
      </c>
      <c r="AA102" s="5">
        <v>43824.0</v>
      </c>
      <c r="AB102" s="5">
        <v>36806.0</v>
      </c>
      <c r="AC102" s="5">
        <v>32739.0</v>
      </c>
      <c r="AD102" s="5">
        <v>29849.0</v>
      </c>
      <c r="AE102" s="5">
        <v>25168.0</v>
      </c>
      <c r="AF102" s="5">
        <v>21080.0</v>
      </c>
      <c r="AG102" s="5">
        <v>17009.0</v>
      </c>
      <c r="AH102" s="5">
        <v>13450.0</v>
      </c>
      <c r="AI102" s="5">
        <v>9539.0</v>
      </c>
      <c r="AJ102" s="5">
        <v>5326.0</v>
      </c>
      <c r="AK102" s="5">
        <v>2558.0</v>
      </c>
      <c r="AL102" s="5">
        <v>2001.0</v>
      </c>
      <c r="AM102" s="5">
        <v>483440.0</v>
      </c>
      <c r="AN102" s="5">
        <v>48450.0</v>
      </c>
      <c r="AO102" s="5">
        <v>51549.0</v>
      </c>
      <c r="AP102" s="5">
        <v>49506.0</v>
      </c>
      <c r="AQ102" s="5">
        <v>47697.0</v>
      </c>
      <c r="AR102" s="5">
        <v>47960.0</v>
      </c>
      <c r="AS102" s="5">
        <v>41595.0</v>
      </c>
      <c r="AT102" s="5">
        <v>34899.0</v>
      </c>
      <c r="AU102" s="5">
        <v>30732.0</v>
      </c>
      <c r="AV102" s="5">
        <v>28188.0</v>
      </c>
      <c r="AW102" s="5">
        <v>24150.0</v>
      </c>
      <c r="AX102" s="5">
        <v>21069.0</v>
      </c>
      <c r="AY102" s="5">
        <v>17127.0</v>
      </c>
      <c r="AZ102" s="5">
        <v>14589.0</v>
      </c>
      <c r="BA102" s="5">
        <v>10643.0</v>
      </c>
      <c r="BB102" s="5">
        <v>7129.0</v>
      </c>
      <c r="BC102" s="5">
        <v>4021.0</v>
      </c>
      <c r="BD102" s="5">
        <v>4136.0</v>
      </c>
      <c r="BE102" s="4"/>
      <c r="BF102" s="4"/>
      <c r="BG102" s="4"/>
      <c r="BH102" s="4"/>
      <c r="BI102" s="4"/>
      <c r="BJ102" s="4"/>
    </row>
    <row r="103">
      <c r="A103" s="5"/>
      <c r="B103" s="5" t="s">
        <v>194</v>
      </c>
      <c r="C103" s="5">
        <v>5022768.0</v>
      </c>
      <c r="D103" s="5">
        <v>546398.0</v>
      </c>
      <c r="E103" s="5">
        <v>567248.0</v>
      </c>
      <c r="F103" s="5">
        <v>542291.0</v>
      </c>
      <c r="G103" s="5">
        <v>502593.0</v>
      </c>
      <c r="H103" s="5">
        <v>456335.0</v>
      </c>
      <c r="I103" s="5">
        <v>417968.0</v>
      </c>
      <c r="J103" s="5">
        <v>366781.0</v>
      </c>
      <c r="K103" s="5">
        <v>307511.0</v>
      </c>
      <c r="L103" s="5">
        <v>279607.0</v>
      </c>
      <c r="M103" s="5">
        <v>242197.0</v>
      </c>
      <c r="N103" s="5">
        <v>215534.0</v>
      </c>
      <c r="O103" s="5">
        <v>182797.0</v>
      </c>
      <c r="P103" s="5">
        <v>148323.0</v>
      </c>
      <c r="Q103" s="5">
        <v>105308.0</v>
      </c>
      <c r="R103" s="5">
        <v>64822.0</v>
      </c>
      <c r="S103" s="5">
        <v>38381.0</v>
      </c>
      <c r="T103" s="5">
        <v>38674.0</v>
      </c>
      <c r="U103" s="5">
        <v>2566715.0</v>
      </c>
      <c r="V103" s="5">
        <v>281519.0</v>
      </c>
      <c r="W103" s="5">
        <v>293423.0</v>
      </c>
      <c r="X103" s="5">
        <v>279029.0</v>
      </c>
      <c r="Y103" s="5">
        <v>255915.0</v>
      </c>
      <c r="Z103" s="5">
        <v>232523.0</v>
      </c>
      <c r="AA103" s="5">
        <v>214929.0</v>
      </c>
      <c r="AB103" s="5">
        <v>192091.0</v>
      </c>
      <c r="AC103" s="5">
        <v>160895.0</v>
      </c>
      <c r="AD103" s="5">
        <v>145672.0</v>
      </c>
      <c r="AE103" s="5">
        <v>125029.0</v>
      </c>
      <c r="AF103" s="5">
        <v>109265.0</v>
      </c>
      <c r="AG103" s="5">
        <v>92274.0</v>
      </c>
      <c r="AH103" s="5">
        <v>73271.0</v>
      </c>
      <c r="AI103" s="5">
        <v>50922.0</v>
      </c>
      <c r="AJ103" s="5">
        <v>29794.0</v>
      </c>
      <c r="AK103" s="5">
        <v>16156.0</v>
      </c>
      <c r="AL103" s="5">
        <v>14008.0</v>
      </c>
      <c r="AM103" s="5">
        <v>2456053.0</v>
      </c>
      <c r="AN103" s="5">
        <v>264879.0</v>
      </c>
      <c r="AO103" s="5">
        <v>273825.0</v>
      </c>
      <c r="AP103" s="5">
        <v>263262.0</v>
      </c>
      <c r="AQ103" s="5">
        <v>246678.0</v>
      </c>
      <c r="AR103" s="5">
        <v>223812.0</v>
      </c>
      <c r="AS103" s="5">
        <v>203039.0</v>
      </c>
      <c r="AT103" s="5">
        <v>174690.0</v>
      </c>
      <c r="AU103" s="5">
        <v>146616.0</v>
      </c>
      <c r="AV103" s="5">
        <v>133935.0</v>
      </c>
      <c r="AW103" s="5">
        <v>117168.0</v>
      </c>
      <c r="AX103" s="5">
        <v>106269.0</v>
      </c>
      <c r="AY103" s="5">
        <v>90523.0</v>
      </c>
      <c r="AZ103" s="5">
        <v>75052.0</v>
      </c>
      <c r="BA103" s="5">
        <v>54386.0</v>
      </c>
      <c r="BB103" s="5">
        <v>35028.0</v>
      </c>
      <c r="BC103" s="5">
        <v>22225.0</v>
      </c>
      <c r="BD103" s="5">
        <v>24666.0</v>
      </c>
      <c r="BE103" s="4"/>
      <c r="BF103" s="4"/>
      <c r="BG103" s="4"/>
      <c r="BH103" s="4"/>
      <c r="BI103" s="4"/>
      <c r="BJ103" s="4"/>
    </row>
    <row r="104">
      <c r="A104" s="5"/>
      <c r="B104" s="5" t="s">
        <v>195</v>
      </c>
      <c r="C104" s="5">
        <v>1541308.0</v>
      </c>
      <c r="D104" s="5">
        <v>170521.0</v>
      </c>
      <c r="E104" s="5">
        <v>185320.0</v>
      </c>
      <c r="F104" s="5">
        <v>175502.0</v>
      </c>
      <c r="G104" s="5">
        <v>157723.0</v>
      </c>
      <c r="H104" s="5">
        <v>138341.0</v>
      </c>
      <c r="I104" s="5">
        <v>128431.0</v>
      </c>
      <c r="J104" s="5">
        <v>114696.0</v>
      </c>
      <c r="K104" s="5">
        <v>94088.0</v>
      </c>
      <c r="L104" s="5">
        <v>83685.0</v>
      </c>
      <c r="M104" s="5">
        <v>71315.0</v>
      </c>
      <c r="N104" s="5">
        <v>62121.0</v>
      </c>
      <c r="O104" s="5">
        <v>52162.0</v>
      </c>
      <c r="P104" s="5">
        <v>41827.0</v>
      </c>
      <c r="Q104" s="5">
        <v>28365.0</v>
      </c>
      <c r="R104" s="5">
        <v>16905.0</v>
      </c>
      <c r="S104" s="5">
        <v>10034.0</v>
      </c>
      <c r="T104" s="5">
        <v>10272.0</v>
      </c>
      <c r="U104" s="5">
        <v>801618.0</v>
      </c>
      <c r="V104" s="5">
        <v>88364.0</v>
      </c>
      <c r="W104" s="5">
        <v>95707.0</v>
      </c>
      <c r="X104" s="5">
        <v>90392.0</v>
      </c>
      <c r="Y104" s="5">
        <v>81189.0</v>
      </c>
      <c r="Z104" s="5">
        <v>71488.0</v>
      </c>
      <c r="AA104" s="5">
        <v>67710.0</v>
      </c>
      <c r="AB104" s="5">
        <v>61327.0</v>
      </c>
      <c r="AC104" s="5">
        <v>50518.0</v>
      </c>
      <c r="AD104" s="5">
        <v>44838.0</v>
      </c>
      <c r="AE104" s="5">
        <v>37725.0</v>
      </c>
      <c r="AF104" s="5">
        <v>32315.0</v>
      </c>
      <c r="AG104" s="5">
        <v>27140.0</v>
      </c>
      <c r="AH104" s="5">
        <v>21435.0</v>
      </c>
      <c r="AI104" s="5">
        <v>14352.0</v>
      </c>
      <c r="AJ104" s="5">
        <v>8366.0</v>
      </c>
      <c r="AK104" s="5">
        <v>4633.0</v>
      </c>
      <c r="AL104" s="5">
        <v>4119.0</v>
      </c>
      <c r="AM104" s="5">
        <v>739690.0</v>
      </c>
      <c r="AN104" s="5">
        <v>82157.0</v>
      </c>
      <c r="AO104" s="5">
        <v>89613.0</v>
      </c>
      <c r="AP104" s="5">
        <v>85110.0</v>
      </c>
      <c r="AQ104" s="5">
        <v>76534.0</v>
      </c>
      <c r="AR104" s="5">
        <v>66853.0</v>
      </c>
      <c r="AS104" s="5">
        <v>60721.0</v>
      </c>
      <c r="AT104" s="5">
        <v>53369.0</v>
      </c>
      <c r="AU104" s="5">
        <v>43570.0</v>
      </c>
      <c r="AV104" s="5">
        <v>38847.0</v>
      </c>
      <c r="AW104" s="5">
        <v>33590.0</v>
      </c>
      <c r="AX104" s="5">
        <v>29806.0</v>
      </c>
      <c r="AY104" s="5">
        <v>25022.0</v>
      </c>
      <c r="AZ104" s="5">
        <v>20392.0</v>
      </c>
      <c r="BA104" s="5">
        <v>14013.0</v>
      </c>
      <c r="BB104" s="5">
        <v>8539.0</v>
      </c>
      <c r="BC104" s="5">
        <v>5401.0</v>
      </c>
      <c r="BD104" s="5">
        <v>6153.0</v>
      </c>
      <c r="BE104" s="4"/>
      <c r="BF104" s="4"/>
      <c r="BG104" s="4"/>
      <c r="BH104" s="4"/>
      <c r="BI104" s="4"/>
      <c r="BJ104" s="4"/>
    </row>
    <row r="105">
      <c r="A105" s="5"/>
      <c r="B105" s="5" t="s">
        <v>196</v>
      </c>
      <c r="C105" s="5">
        <v>92808.0</v>
      </c>
      <c r="D105" s="5">
        <v>8900.0</v>
      </c>
      <c r="E105" s="5">
        <v>10043.0</v>
      </c>
      <c r="F105" s="5">
        <v>9710.0</v>
      </c>
      <c r="G105" s="5">
        <v>9112.0</v>
      </c>
      <c r="H105" s="5">
        <v>7422.0</v>
      </c>
      <c r="I105" s="5">
        <v>6640.0</v>
      </c>
      <c r="J105" s="5">
        <v>5856.0</v>
      </c>
      <c r="K105" s="5">
        <v>5413.0</v>
      </c>
      <c r="L105" s="5">
        <v>5218.0</v>
      </c>
      <c r="M105" s="5">
        <v>4901.0</v>
      </c>
      <c r="N105" s="5">
        <v>4806.0</v>
      </c>
      <c r="O105" s="5">
        <v>4263.0</v>
      </c>
      <c r="P105" s="5">
        <v>3365.0</v>
      </c>
      <c r="Q105" s="5">
        <v>2555.0</v>
      </c>
      <c r="R105" s="5">
        <v>1868.0</v>
      </c>
      <c r="S105" s="5">
        <v>1325.0</v>
      </c>
      <c r="T105" s="5">
        <v>1411.0</v>
      </c>
      <c r="U105" s="5">
        <v>47216.0</v>
      </c>
      <c r="V105" s="5">
        <v>4609.0</v>
      </c>
      <c r="W105" s="5">
        <v>5193.0</v>
      </c>
      <c r="X105" s="5">
        <v>5064.0</v>
      </c>
      <c r="Y105" s="5">
        <v>4652.0</v>
      </c>
      <c r="Z105" s="5">
        <v>3840.0</v>
      </c>
      <c r="AA105" s="5">
        <v>3323.0</v>
      </c>
      <c r="AB105" s="5">
        <v>3056.0</v>
      </c>
      <c r="AC105" s="5">
        <v>2833.0</v>
      </c>
      <c r="AD105" s="5">
        <v>2743.0</v>
      </c>
      <c r="AE105" s="5">
        <v>2499.0</v>
      </c>
      <c r="AF105" s="5">
        <v>2452.0</v>
      </c>
      <c r="AG105" s="5">
        <v>2182.0</v>
      </c>
      <c r="AH105" s="5">
        <v>1698.0</v>
      </c>
      <c r="AI105" s="5">
        <v>1223.0</v>
      </c>
      <c r="AJ105" s="5">
        <v>836.0</v>
      </c>
      <c r="AK105" s="5">
        <v>538.0</v>
      </c>
      <c r="AL105" s="5">
        <v>475.0</v>
      </c>
      <c r="AM105" s="5">
        <v>45592.0</v>
      </c>
      <c r="AN105" s="5">
        <v>4291.0</v>
      </c>
      <c r="AO105" s="5">
        <v>4850.0</v>
      </c>
      <c r="AP105" s="5">
        <v>4646.0</v>
      </c>
      <c r="AQ105" s="5">
        <v>4460.0</v>
      </c>
      <c r="AR105" s="5">
        <v>3582.0</v>
      </c>
      <c r="AS105" s="5">
        <v>3317.0</v>
      </c>
      <c r="AT105" s="5">
        <v>2800.0</v>
      </c>
      <c r="AU105" s="5">
        <v>2580.0</v>
      </c>
      <c r="AV105" s="5">
        <v>2475.0</v>
      </c>
      <c r="AW105" s="5">
        <v>2402.0</v>
      </c>
      <c r="AX105" s="5">
        <v>2354.0</v>
      </c>
      <c r="AY105" s="5">
        <v>2081.0</v>
      </c>
      <c r="AZ105" s="5">
        <v>1667.0</v>
      </c>
      <c r="BA105" s="5">
        <v>1332.0</v>
      </c>
      <c r="BB105" s="5">
        <v>1032.0</v>
      </c>
      <c r="BC105" s="5">
        <v>787.0</v>
      </c>
      <c r="BD105" s="5">
        <v>936.0</v>
      </c>
      <c r="BE105" s="4"/>
      <c r="BF105" s="4"/>
      <c r="BG105" s="4"/>
      <c r="BH105" s="4"/>
      <c r="BI105" s="4"/>
      <c r="BJ105" s="4"/>
    </row>
    <row r="106">
      <c r="A106" s="5"/>
      <c r="B106" s="5" t="s">
        <v>197</v>
      </c>
      <c r="C106" s="5">
        <v>722902.0</v>
      </c>
      <c r="D106" s="5">
        <v>89828.0</v>
      </c>
      <c r="E106" s="5">
        <v>92460.0</v>
      </c>
      <c r="F106" s="5">
        <v>86571.0</v>
      </c>
      <c r="G106" s="5">
        <v>77538.0</v>
      </c>
      <c r="H106" s="5">
        <v>68075.0</v>
      </c>
      <c r="I106" s="5">
        <v>60103.0</v>
      </c>
      <c r="J106" s="5">
        <v>49600.0</v>
      </c>
      <c r="K106" s="5">
        <v>41359.0</v>
      </c>
      <c r="L106" s="5">
        <v>36528.0</v>
      </c>
      <c r="M106" s="5">
        <v>30557.0</v>
      </c>
      <c r="N106" s="5">
        <v>26073.0</v>
      </c>
      <c r="O106" s="5">
        <v>20430.0</v>
      </c>
      <c r="P106" s="5">
        <v>16489.0</v>
      </c>
      <c r="Q106" s="5">
        <v>11717.0</v>
      </c>
      <c r="R106" s="5">
        <v>7447.0</v>
      </c>
      <c r="S106" s="5">
        <v>3998.0</v>
      </c>
      <c r="T106" s="5">
        <v>4129.0</v>
      </c>
      <c r="U106" s="5">
        <v>363102.0</v>
      </c>
      <c r="V106" s="5">
        <v>45846.0</v>
      </c>
      <c r="W106" s="5">
        <v>46804.0</v>
      </c>
      <c r="X106" s="5">
        <v>43745.0</v>
      </c>
      <c r="Y106" s="5">
        <v>38532.0</v>
      </c>
      <c r="Z106" s="5">
        <v>33718.0</v>
      </c>
      <c r="AA106" s="5">
        <v>29587.0</v>
      </c>
      <c r="AB106" s="5">
        <v>25272.0</v>
      </c>
      <c r="AC106" s="5">
        <v>21099.0</v>
      </c>
      <c r="AD106" s="5">
        <v>18712.0</v>
      </c>
      <c r="AE106" s="5">
        <v>15638.0</v>
      </c>
      <c r="AF106" s="5">
        <v>13093.0</v>
      </c>
      <c r="AG106" s="5">
        <v>10450.0</v>
      </c>
      <c r="AH106" s="5">
        <v>8236.0</v>
      </c>
      <c r="AI106" s="5">
        <v>5652.0</v>
      </c>
      <c r="AJ106" s="5">
        <v>3443.0</v>
      </c>
      <c r="AK106" s="5">
        <v>1717.0</v>
      </c>
      <c r="AL106" s="5">
        <v>1558.0</v>
      </c>
      <c r="AM106" s="5">
        <v>359800.0</v>
      </c>
      <c r="AN106" s="5">
        <v>43982.0</v>
      </c>
      <c r="AO106" s="5">
        <v>45656.0</v>
      </c>
      <c r="AP106" s="5">
        <v>42826.0</v>
      </c>
      <c r="AQ106" s="5">
        <v>39006.0</v>
      </c>
      <c r="AR106" s="5">
        <v>34357.0</v>
      </c>
      <c r="AS106" s="5">
        <v>30516.0</v>
      </c>
      <c r="AT106" s="5">
        <v>24328.0</v>
      </c>
      <c r="AU106" s="5">
        <v>20260.0</v>
      </c>
      <c r="AV106" s="5">
        <v>17816.0</v>
      </c>
      <c r="AW106" s="5">
        <v>14919.0</v>
      </c>
      <c r="AX106" s="5">
        <v>12980.0</v>
      </c>
      <c r="AY106" s="5">
        <v>9980.0</v>
      </c>
      <c r="AZ106" s="5">
        <v>8253.0</v>
      </c>
      <c r="BA106" s="5">
        <v>6065.0</v>
      </c>
      <c r="BB106" s="5">
        <v>4004.0</v>
      </c>
      <c r="BC106" s="5">
        <v>2281.0</v>
      </c>
      <c r="BD106" s="5">
        <v>2571.0</v>
      </c>
      <c r="BE106" s="4"/>
      <c r="BF106" s="4"/>
      <c r="BG106" s="4"/>
      <c r="BH106" s="4"/>
      <c r="BI106" s="4"/>
      <c r="BJ106" s="4"/>
    </row>
    <row r="107">
      <c r="A107" s="5"/>
      <c r="B107" s="5" t="s">
        <v>198</v>
      </c>
      <c r="C107" s="5">
        <v>617333.0</v>
      </c>
      <c r="D107" s="5">
        <v>60350.0</v>
      </c>
      <c r="E107" s="5">
        <v>62247.0</v>
      </c>
      <c r="F107" s="5">
        <v>62083.0</v>
      </c>
      <c r="G107" s="5">
        <v>60595.0</v>
      </c>
      <c r="H107" s="5">
        <v>53502.0</v>
      </c>
      <c r="I107" s="5">
        <v>47233.0</v>
      </c>
      <c r="J107" s="5">
        <v>41853.0</v>
      </c>
      <c r="K107" s="5">
        <v>36374.0</v>
      </c>
      <c r="L107" s="5">
        <v>35436.0</v>
      </c>
      <c r="M107" s="5">
        <v>33001.0</v>
      </c>
      <c r="N107" s="5">
        <v>31126.0</v>
      </c>
      <c r="O107" s="5">
        <v>26995.0</v>
      </c>
      <c r="P107" s="5">
        <v>22599.0</v>
      </c>
      <c r="Q107" s="5">
        <v>16933.0</v>
      </c>
      <c r="R107" s="5">
        <v>11514.0</v>
      </c>
      <c r="S107" s="5">
        <v>7769.0</v>
      </c>
      <c r="T107" s="5">
        <v>7723.0</v>
      </c>
      <c r="U107" s="5">
        <v>312526.0</v>
      </c>
      <c r="V107" s="5">
        <v>30899.0</v>
      </c>
      <c r="W107" s="5">
        <v>32367.0</v>
      </c>
      <c r="X107" s="5">
        <v>32053.0</v>
      </c>
      <c r="Y107" s="5">
        <v>30950.0</v>
      </c>
      <c r="Z107" s="5">
        <v>27403.0</v>
      </c>
      <c r="AA107" s="5">
        <v>24257.0</v>
      </c>
      <c r="AB107" s="5">
        <v>21748.0</v>
      </c>
      <c r="AC107" s="5">
        <v>18889.0</v>
      </c>
      <c r="AD107" s="5">
        <v>18485.0</v>
      </c>
      <c r="AE107" s="5">
        <v>16955.0</v>
      </c>
      <c r="AF107" s="5">
        <v>15820.0</v>
      </c>
      <c r="AG107" s="5">
        <v>13467.0</v>
      </c>
      <c r="AH107" s="5">
        <v>10868.0</v>
      </c>
      <c r="AI107" s="5">
        <v>7826.0</v>
      </c>
      <c r="AJ107" s="5">
        <v>4940.0</v>
      </c>
      <c r="AK107" s="5">
        <v>3040.0</v>
      </c>
      <c r="AL107" s="5">
        <v>2559.0</v>
      </c>
      <c r="AM107" s="5">
        <v>304807.0</v>
      </c>
      <c r="AN107" s="5">
        <v>29451.0</v>
      </c>
      <c r="AO107" s="5">
        <v>29880.0</v>
      </c>
      <c r="AP107" s="5">
        <v>30030.0</v>
      </c>
      <c r="AQ107" s="5">
        <v>29645.0</v>
      </c>
      <c r="AR107" s="5">
        <v>26099.0</v>
      </c>
      <c r="AS107" s="5">
        <v>22976.0</v>
      </c>
      <c r="AT107" s="5">
        <v>20105.0</v>
      </c>
      <c r="AU107" s="5">
        <v>17485.0</v>
      </c>
      <c r="AV107" s="5">
        <v>16951.0</v>
      </c>
      <c r="AW107" s="5">
        <v>16046.0</v>
      </c>
      <c r="AX107" s="5">
        <v>15306.0</v>
      </c>
      <c r="AY107" s="5">
        <v>13528.0</v>
      </c>
      <c r="AZ107" s="5">
        <v>11731.0</v>
      </c>
      <c r="BA107" s="5">
        <v>9107.0</v>
      </c>
      <c r="BB107" s="5">
        <v>6574.0</v>
      </c>
      <c r="BC107" s="5">
        <v>4729.0</v>
      </c>
      <c r="BD107" s="5">
        <v>5164.0</v>
      </c>
      <c r="BE107" s="4"/>
      <c r="BF107" s="4"/>
      <c r="BG107" s="4"/>
      <c r="BH107" s="4"/>
      <c r="BI107" s="4"/>
      <c r="BJ107" s="4"/>
    </row>
    <row r="108">
      <c r="A108" s="5"/>
      <c r="B108" s="5" t="s">
        <v>199</v>
      </c>
      <c r="C108" s="5">
        <v>956900.0</v>
      </c>
      <c r="D108" s="5">
        <v>106556.0</v>
      </c>
      <c r="E108" s="5">
        <v>107977.0</v>
      </c>
      <c r="F108" s="5">
        <v>102994.0</v>
      </c>
      <c r="G108" s="5">
        <v>95075.0</v>
      </c>
      <c r="H108" s="5">
        <v>83224.0</v>
      </c>
      <c r="I108" s="5">
        <v>76398.0</v>
      </c>
      <c r="J108" s="5">
        <v>69079.0</v>
      </c>
      <c r="K108" s="5">
        <v>57811.0</v>
      </c>
      <c r="L108" s="5">
        <v>52844.0</v>
      </c>
      <c r="M108" s="5">
        <v>45877.0</v>
      </c>
      <c r="N108" s="5">
        <v>42044.0</v>
      </c>
      <c r="O108" s="5">
        <v>36842.0</v>
      </c>
      <c r="P108" s="5">
        <v>29617.0</v>
      </c>
      <c r="Q108" s="5">
        <v>21404.0</v>
      </c>
      <c r="R108" s="5">
        <v>13168.0</v>
      </c>
      <c r="S108" s="5">
        <v>7860.0</v>
      </c>
      <c r="T108" s="5">
        <v>8130.0</v>
      </c>
      <c r="U108" s="5">
        <v>491005.0</v>
      </c>
      <c r="V108" s="5">
        <v>54825.0</v>
      </c>
      <c r="W108" s="5">
        <v>56479.0</v>
      </c>
      <c r="X108" s="5">
        <v>53338.0</v>
      </c>
      <c r="Y108" s="5">
        <v>49005.0</v>
      </c>
      <c r="Z108" s="5">
        <v>43134.0</v>
      </c>
      <c r="AA108" s="5">
        <v>39635.0</v>
      </c>
      <c r="AB108" s="5">
        <v>36246.0</v>
      </c>
      <c r="AC108" s="5">
        <v>30368.0</v>
      </c>
      <c r="AD108" s="5">
        <v>27488.0</v>
      </c>
      <c r="AE108" s="5">
        <v>23641.0</v>
      </c>
      <c r="AF108" s="5">
        <v>21180.0</v>
      </c>
      <c r="AG108" s="5">
        <v>18515.0</v>
      </c>
      <c r="AH108" s="5">
        <v>14608.0</v>
      </c>
      <c r="AI108" s="5">
        <v>10439.0</v>
      </c>
      <c r="AJ108" s="5">
        <v>5964.0</v>
      </c>
      <c r="AK108" s="5">
        <v>3245.0</v>
      </c>
      <c r="AL108" s="5">
        <v>2895.0</v>
      </c>
      <c r="AM108" s="5">
        <v>465895.0</v>
      </c>
      <c r="AN108" s="5">
        <v>51731.0</v>
      </c>
      <c r="AO108" s="5">
        <v>51498.0</v>
      </c>
      <c r="AP108" s="5">
        <v>49656.0</v>
      </c>
      <c r="AQ108" s="5">
        <v>46070.0</v>
      </c>
      <c r="AR108" s="5">
        <v>40090.0</v>
      </c>
      <c r="AS108" s="5">
        <v>36763.0</v>
      </c>
      <c r="AT108" s="5">
        <v>32833.0</v>
      </c>
      <c r="AU108" s="5">
        <v>27443.0</v>
      </c>
      <c r="AV108" s="5">
        <v>25356.0</v>
      </c>
      <c r="AW108" s="5">
        <v>22236.0</v>
      </c>
      <c r="AX108" s="5">
        <v>20864.0</v>
      </c>
      <c r="AY108" s="5">
        <v>18327.0</v>
      </c>
      <c r="AZ108" s="5">
        <v>15009.0</v>
      </c>
      <c r="BA108" s="5">
        <v>10965.0</v>
      </c>
      <c r="BB108" s="5">
        <v>7204.0</v>
      </c>
      <c r="BC108" s="5">
        <v>4615.0</v>
      </c>
      <c r="BD108" s="5">
        <v>5235.0</v>
      </c>
      <c r="BE108" s="4"/>
      <c r="BF108" s="4"/>
      <c r="BG108" s="4"/>
      <c r="BH108" s="4"/>
      <c r="BI108" s="4"/>
      <c r="BJ108" s="4"/>
    </row>
    <row r="109">
      <c r="A109" s="5"/>
      <c r="B109" s="5" t="s">
        <v>200</v>
      </c>
      <c r="C109" s="5">
        <v>728402.0</v>
      </c>
      <c r="D109" s="5">
        <v>71258.0</v>
      </c>
      <c r="E109" s="5">
        <v>70732.0</v>
      </c>
      <c r="F109" s="5">
        <v>67988.0</v>
      </c>
      <c r="G109" s="5">
        <v>65946.0</v>
      </c>
      <c r="H109" s="5">
        <v>71651.0</v>
      </c>
      <c r="I109" s="5">
        <v>68215.0</v>
      </c>
      <c r="J109" s="5">
        <v>60052.0</v>
      </c>
      <c r="K109" s="5">
        <v>50213.0</v>
      </c>
      <c r="L109" s="5">
        <v>45359.0</v>
      </c>
      <c r="M109" s="5">
        <v>38414.0</v>
      </c>
      <c r="N109" s="5">
        <v>33112.0</v>
      </c>
      <c r="O109" s="5">
        <v>27778.0</v>
      </c>
      <c r="P109" s="5">
        <v>22842.0</v>
      </c>
      <c r="Q109" s="5">
        <v>16239.0</v>
      </c>
      <c r="R109" s="5">
        <v>9203.0</v>
      </c>
      <c r="S109" s="5">
        <v>4841.0</v>
      </c>
      <c r="T109" s="5">
        <v>4559.0</v>
      </c>
      <c r="U109" s="5">
        <v>368664.0</v>
      </c>
      <c r="V109" s="5">
        <v>36801.0</v>
      </c>
      <c r="W109" s="5">
        <v>36744.0</v>
      </c>
      <c r="X109" s="5">
        <v>35026.0</v>
      </c>
      <c r="Y109" s="5">
        <v>33255.0</v>
      </c>
      <c r="Z109" s="5">
        <v>35881.0</v>
      </c>
      <c r="AA109" s="5">
        <v>34843.0</v>
      </c>
      <c r="AB109" s="5">
        <v>31300.0</v>
      </c>
      <c r="AC109" s="5">
        <v>25952.0</v>
      </c>
      <c r="AD109" s="5">
        <v>23147.0</v>
      </c>
      <c r="AE109" s="5">
        <v>19545.0</v>
      </c>
      <c r="AF109" s="5">
        <v>16517.0</v>
      </c>
      <c r="AG109" s="5">
        <v>13556.0</v>
      </c>
      <c r="AH109" s="5">
        <v>10837.0</v>
      </c>
      <c r="AI109" s="5">
        <v>7560.0</v>
      </c>
      <c r="AJ109" s="5">
        <v>4168.0</v>
      </c>
      <c r="AK109" s="5">
        <v>1969.0</v>
      </c>
      <c r="AL109" s="5">
        <v>1563.0</v>
      </c>
      <c r="AM109" s="5">
        <v>359738.0</v>
      </c>
      <c r="AN109" s="5">
        <v>34457.0</v>
      </c>
      <c r="AO109" s="5">
        <v>33988.0</v>
      </c>
      <c r="AP109" s="5">
        <v>32962.0</v>
      </c>
      <c r="AQ109" s="5">
        <v>32691.0</v>
      </c>
      <c r="AR109" s="5">
        <v>35770.0</v>
      </c>
      <c r="AS109" s="5">
        <v>33372.0</v>
      </c>
      <c r="AT109" s="5">
        <v>28752.0</v>
      </c>
      <c r="AU109" s="5">
        <v>24261.0</v>
      </c>
      <c r="AV109" s="5">
        <v>22212.0</v>
      </c>
      <c r="AW109" s="5">
        <v>18869.0</v>
      </c>
      <c r="AX109" s="5">
        <v>16595.0</v>
      </c>
      <c r="AY109" s="5">
        <v>14222.0</v>
      </c>
      <c r="AZ109" s="5">
        <v>12005.0</v>
      </c>
      <c r="BA109" s="5">
        <v>8679.0</v>
      </c>
      <c r="BB109" s="5">
        <v>5035.0</v>
      </c>
      <c r="BC109" s="5">
        <v>2872.0</v>
      </c>
      <c r="BD109" s="5">
        <v>2996.0</v>
      </c>
      <c r="BE109" s="4"/>
      <c r="BF109" s="4"/>
      <c r="BG109" s="4"/>
      <c r="BH109" s="4"/>
      <c r="BI109" s="4"/>
      <c r="BJ109" s="4"/>
    </row>
    <row r="110">
      <c r="A110" s="5"/>
      <c r="B110" s="5" t="s">
        <v>201</v>
      </c>
      <c r="C110" s="5">
        <v>363115.0</v>
      </c>
      <c r="D110" s="5">
        <v>38985.0</v>
      </c>
      <c r="E110" s="5">
        <v>38469.0</v>
      </c>
      <c r="F110" s="5">
        <v>37443.0</v>
      </c>
      <c r="G110" s="5">
        <v>36604.0</v>
      </c>
      <c r="H110" s="5">
        <v>34120.0</v>
      </c>
      <c r="I110" s="5">
        <v>30948.0</v>
      </c>
      <c r="J110" s="5">
        <v>25645.0</v>
      </c>
      <c r="K110" s="5">
        <v>22253.0</v>
      </c>
      <c r="L110" s="5">
        <v>20537.0</v>
      </c>
      <c r="M110" s="5">
        <v>18132.0</v>
      </c>
      <c r="N110" s="5">
        <v>16252.0</v>
      </c>
      <c r="O110" s="5">
        <v>14327.0</v>
      </c>
      <c r="P110" s="5">
        <v>11584.0</v>
      </c>
      <c r="Q110" s="5">
        <v>8095.0</v>
      </c>
      <c r="R110" s="5">
        <v>4717.0</v>
      </c>
      <c r="S110" s="5">
        <v>2554.0</v>
      </c>
      <c r="T110" s="5">
        <v>2450.0</v>
      </c>
      <c r="U110" s="5">
        <v>182584.0</v>
      </c>
      <c r="V110" s="5">
        <v>20175.0</v>
      </c>
      <c r="W110" s="5">
        <v>20129.0</v>
      </c>
      <c r="X110" s="5">
        <v>19411.0</v>
      </c>
      <c r="Y110" s="5">
        <v>18332.0</v>
      </c>
      <c r="Z110" s="5">
        <v>17059.0</v>
      </c>
      <c r="AA110" s="5">
        <v>15574.0</v>
      </c>
      <c r="AB110" s="5">
        <v>13142.0</v>
      </c>
      <c r="AC110" s="5">
        <v>11236.0</v>
      </c>
      <c r="AD110" s="5">
        <v>10259.0</v>
      </c>
      <c r="AE110" s="5">
        <v>9026.0</v>
      </c>
      <c r="AF110" s="5">
        <v>7888.0</v>
      </c>
      <c r="AG110" s="5">
        <v>6964.0</v>
      </c>
      <c r="AH110" s="5">
        <v>5589.0</v>
      </c>
      <c r="AI110" s="5">
        <v>3870.0</v>
      </c>
      <c r="AJ110" s="5">
        <v>2077.0</v>
      </c>
      <c r="AK110" s="5">
        <v>1014.0</v>
      </c>
      <c r="AL110" s="5">
        <v>839.0</v>
      </c>
      <c r="AM110" s="5">
        <v>180531.0</v>
      </c>
      <c r="AN110" s="5">
        <v>18810.0</v>
      </c>
      <c r="AO110" s="5">
        <v>18340.0</v>
      </c>
      <c r="AP110" s="5">
        <v>18032.0</v>
      </c>
      <c r="AQ110" s="5">
        <v>18272.0</v>
      </c>
      <c r="AR110" s="5">
        <v>17061.0</v>
      </c>
      <c r="AS110" s="5">
        <v>15374.0</v>
      </c>
      <c r="AT110" s="5">
        <v>12503.0</v>
      </c>
      <c r="AU110" s="5">
        <v>11017.0</v>
      </c>
      <c r="AV110" s="5">
        <v>10278.0</v>
      </c>
      <c r="AW110" s="5">
        <v>9106.0</v>
      </c>
      <c r="AX110" s="5">
        <v>8364.0</v>
      </c>
      <c r="AY110" s="5">
        <v>7363.0</v>
      </c>
      <c r="AZ110" s="5">
        <v>5995.0</v>
      </c>
      <c r="BA110" s="5">
        <v>4225.0</v>
      </c>
      <c r="BB110" s="5">
        <v>2640.0</v>
      </c>
      <c r="BC110" s="5">
        <v>1540.0</v>
      </c>
      <c r="BD110" s="5">
        <v>1611.0</v>
      </c>
      <c r="BE110" s="4"/>
      <c r="BF110" s="4"/>
      <c r="BG110" s="4"/>
      <c r="BH110" s="4"/>
      <c r="BI110" s="4"/>
      <c r="BJ110" s="4"/>
    </row>
    <row r="111">
      <c r="A111" s="5"/>
      <c r="B111" s="5" t="s">
        <v>202</v>
      </c>
      <c r="C111" s="5">
        <v>5243536.0</v>
      </c>
      <c r="D111" s="5">
        <v>542024.0</v>
      </c>
      <c r="E111" s="5">
        <v>551507.0</v>
      </c>
      <c r="F111" s="5">
        <v>544264.0</v>
      </c>
      <c r="G111" s="5">
        <v>498580.0</v>
      </c>
      <c r="H111" s="5">
        <v>475544.0</v>
      </c>
      <c r="I111" s="5">
        <v>445141.0</v>
      </c>
      <c r="J111" s="5">
        <v>408997.0</v>
      </c>
      <c r="K111" s="5">
        <v>345108.0</v>
      </c>
      <c r="L111" s="5">
        <v>310101.0</v>
      </c>
      <c r="M111" s="5">
        <v>267807.0</v>
      </c>
      <c r="N111" s="5">
        <v>232759.0</v>
      </c>
      <c r="O111" s="5">
        <v>193785.0</v>
      </c>
      <c r="P111" s="5">
        <v>162692.0</v>
      </c>
      <c r="Q111" s="5">
        <v>114816.0</v>
      </c>
      <c r="R111" s="5">
        <v>70860.0</v>
      </c>
      <c r="S111" s="5">
        <v>40322.0</v>
      </c>
      <c r="T111" s="5">
        <v>39229.0</v>
      </c>
      <c r="U111" s="5">
        <v>2695648.0</v>
      </c>
      <c r="V111" s="5">
        <v>279290.0</v>
      </c>
      <c r="W111" s="5">
        <v>284843.0</v>
      </c>
      <c r="X111" s="5">
        <v>280215.0</v>
      </c>
      <c r="Y111" s="5">
        <v>254377.0</v>
      </c>
      <c r="Z111" s="5">
        <v>242203.0</v>
      </c>
      <c r="AA111" s="5">
        <v>230077.0</v>
      </c>
      <c r="AB111" s="5">
        <v>216025.0</v>
      </c>
      <c r="AC111" s="5">
        <v>183003.0</v>
      </c>
      <c r="AD111" s="5">
        <v>164329.0</v>
      </c>
      <c r="AE111" s="5">
        <v>140343.0</v>
      </c>
      <c r="AF111" s="5">
        <v>119652.0</v>
      </c>
      <c r="AG111" s="5">
        <v>98501.0</v>
      </c>
      <c r="AH111" s="5">
        <v>81011.0</v>
      </c>
      <c r="AI111" s="5">
        <v>55652.0</v>
      </c>
      <c r="AJ111" s="5">
        <v>33166.0</v>
      </c>
      <c r="AK111" s="5">
        <v>17708.0</v>
      </c>
      <c r="AL111" s="5">
        <v>15253.0</v>
      </c>
      <c r="AM111" s="5">
        <v>2547888.0</v>
      </c>
      <c r="AN111" s="5">
        <v>262734.0</v>
      </c>
      <c r="AO111" s="5">
        <v>266664.0</v>
      </c>
      <c r="AP111" s="5">
        <v>264049.0</v>
      </c>
      <c r="AQ111" s="5">
        <v>244203.0</v>
      </c>
      <c r="AR111" s="5">
        <v>233341.0</v>
      </c>
      <c r="AS111" s="5">
        <v>215064.0</v>
      </c>
      <c r="AT111" s="5">
        <v>192972.0</v>
      </c>
      <c r="AU111" s="5">
        <v>162105.0</v>
      </c>
      <c r="AV111" s="5">
        <v>145772.0</v>
      </c>
      <c r="AW111" s="5">
        <v>127464.0</v>
      </c>
      <c r="AX111" s="5">
        <v>113107.0</v>
      </c>
      <c r="AY111" s="5">
        <v>95284.0</v>
      </c>
      <c r="AZ111" s="5">
        <v>81681.0</v>
      </c>
      <c r="BA111" s="5">
        <v>59164.0</v>
      </c>
      <c r="BB111" s="5">
        <v>37694.0</v>
      </c>
      <c r="BC111" s="5">
        <v>22614.0</v>
      </c>
      <c r="BD111" s="5">
        <v>23976.0</v>
      </c>
      <c r="BE111" s="4"/>
      <c r="BF111" s="4"/>
      <c r="BG111" s="4"/>
      <c r="BH111" s="4"/>
      <c r="BI111" s="4"/>
      <c r="BJ111" s="4"/>
    </row>
    <row r="112">
      <c r="A112" s="5"/>
      <c r="B112" s="5" t="s">
        <v>203</v>
      </c>
      <c r="C112" s="5">
        <v>767547.0</v>
      </c>
      <c r="D112" s="5">
        <v>78750.0</v>
      </c>
      <c r="E112" s="5">
        <v>84129.0</v>
      </c>
      <c r="F112" s="5">
        <v>83412.0</v>
      </c>
      <c r="G112" s="5">
        <v>79054.0</v>
      </c>
      <c r="H112" s="5">
        <v>65611.0</v>
      </c>
      <c r="I112" s="5">
        <v>63101.0</v>
      </c>
      <c r="J112" s="5">
        <v>58188.0</v>
      </c>
      <c r="K112" s="5">
        <v>48099.0</v>
      </c>
      <c r="L112" s="5">
        <v>42691.0</v>
      </c>
      <c r="M112" s="5">
        <v>38540.0</v>
      </c>
      <c r="N112" s="5">
        <v>35432.0</v>
      </c>
      <c r="O112" s="5">
        <v>28871.0</v>
      </c>
      <c r="P112" s="5">
        <v>23490.0</v>
      </c>
      <c r="Q112" s="5">
        <v>16038.0</v>
      </c>
      <c r="R112" s="5">
        <v>9967.0</v>
      </c>
      <c r="S112" s="5">
        <v>6154.0</v>
      </c>
      <c r="T112" s="5">
        <v>6020.0</v>
      </c>
      <c r="U112" s="5">
        <v>401723.0</v>
      </c>
      <c r="V112" s="5">
        <v>40760.0</v>
      </c>
      <c r="W112" s="5">
        <v>43507.0</v>
      </c>
      <c r="X112" s="5">
        <v>43385.0</v>
      </c>
      <c r="Y112" s="5">
        <v>40858.0</v>
      </c>
      <c r="Z112" s="5">
        <v>33963.0</v>
      </c>
      <c r="AA112" s="5">
        <v>33229.0</v>
      </c>
      <c r="AB112" s="5">
        <v>31503.0</v>
      </c>
      <c r="AC112" s="5">
        <v>26100.0</v>
      </c>
      <c r="AD112" s="5">
        <v>23334.0</v>
      </c>
      <c r="AE112" s="5">
        <v>20591.0</v>
      </c>
      <c r="AF112" s="5">
        <v>18921.0</v>
      </c>
      <c r="AG112" s="5">
        <v>15169.0</v>
      </c>
      <c r="AH112" s="5">
        <v>12266.0</v>
      </c>
      <c r="AI112" s="5">
        <v>8027.0</v>
      </c>
      <c r="AJ112" s="5">
        <v>4836.0</v>
      </c>
      <c r="AK112" s="5">
        <v>2823.0</v>
      </c>
      <c r="AL112" s="5">
        <v>2451.0</v>
      </c>
      <c r="AM112" s="5">
        <v>365824.0</v>
      </c>
      <c r="AN112" s="5">
        <v>37990.0</v>
      </c>
      <c r="AO112" s="5">
        <v>40622.0</v>
      </c>
      <c r="AP112" s="5">
        <v>40027.0</v>
      </c>
      <c r="AQ112" s="5">
        <v>38196.0</v>
      </c>
      <c r="AR112" s="5">
        <v>31648.0</v>
      </c>
      <c r="AS112" s="5">
        <v>29872.0</v>
      </c>
      <c r="AT112" s="5">
        <v>26685.0</v>
      </c>
      <c r="AU112" s="5">
        <v>21999.0</v>
      </c>
      <c r="AV112" s="5">
        <v>19357.0</v>
      </c>
      <c r="AW112" s="5">
        <v>17949.0</v>
      </c>
      <c r="AX112" s="5">
        <v>16511.0</v>
      </c>
      <c r="AY112" s="5">
        <v>13702.0</v>
      </c>
      <c r="AZ112" s="5">
        <v>11224.0</v>
      </c>
      <c r="BA112" s="5">
        <v>8011.0</v>
      </c>
      <c r="BB112" s="5">
        <v>5131.0</v>
      </c>
      <c r="BC112" s="5">
        <v>3331.0</v>
      </c>
      <c r="BD112" s="5">
        <v>3569.0</v>
      </c>
      <c r="BE112" s="4"/>
      <c r="BF112" s="4"/>
      <c r="BG112" s="4"/>
      <c r="BH112" s="4"/>
      <c r="BI112" s="4"/>
      <c r="BJ112" s="4"/>
    </row>
    <row r="113">
      <c r="A113" s="5"/>
      <c r="B113" s="5" t="s">
        <v>204</v>
      </c>
      <c r="C113" s="5">
        <v>1125057.0</v>
      </c>
      <c r="D113" s="5">
        <v>117985.0</v>
      </c>
      <c r="E113" s="5">
        <v>118075.0</v>
      </c>
      <c r="F113" s="5">
        <v>114270.0</v>
      </c>
      <c r="G113" s="5">
        <v>104303.0</v>
      </c>
      <c r="H113" s="5">
        <v>97958.0</v>
      </c>
      <c r="I113" s="5">
        <v>94794.0</v>
      </c>
      <c r="J113" s="5">
        <v>90280.0</v>
      </c>
      <c r="K113" s="5">
        <v>77090.0</v>
      </c>
      <c r="L113" s="5">
        <v>68362.0</v>
      </c>
      <c r="M113" s="5">
        <v>57472.0</v>
      </c>
      <c r="N113" s="5">
        <v>50083.0</v>
      </c>
      <c r="O113" s="5">
        <v>41992.0</v>
      </c>
      <c r="P113" s="5">
        <v>35527.0</v>
      </c>
      <c r="Q113" s="5">
        <v>25109.0</v>
      </c>
      <c r="R113" s="5">
        <v>15035.0</v>
      </c>
      <c r="S113" s="5">
        <v>8650.0</v>
      </c>
      <c r="T113" s="5">
        <v>8072.0</v>
      </c>
      <c r="U113" s="5">
        <v>579554.0</v>
      </c>
      <c r="V113" s="5">
        <v>60705.0</v>
      </c>
      <c r="W113" s="5">
        <v>60680.0</v>
      </c>
      <c r="X113" s="5">
        <v>58846.0</v>
      </c>
      <c r="Y113" s="5">
        <v>53343.0</v>
      </c>
      <c r="Z113" s="5">
        <v>49636.0</v>
      </c>
      <c r="AA113" s="5">
        <v>48781.0</v>
      </c>
      <c r="AB113" s="5">
        <v>47657.0</v>
      </c>
      <c r="AC113" s="5">
        <v>41081.0</v>
      </c>
      <c r="AD113" s="5">
        <v>36266.0</v>
      </c>
      <c r="AE113" s="5">
        <v>30202.0</v>
      </c>
      <c r="AF113" s="5">
        <v>25972.0</v>
      </c>
      <c r="AG113" s="5">
        <v>21543.0</v>
      </c>
      <c r="AH113" s="5">
        <v>17849.0</v>
      </c>
      <c r="AI113" s="5">
        <v>12526.0</v>
      </c>
      <c r="AJ113" s="5">
        <v>7309.0</v>
      </c>
      <c r="AK113" s="5">
        <v>3907.0</v>
      </c>
      <c r="AL113" s="5">
        <v>3251.0</v>
      </c>
      <c r="AM113" s="5">
        <v>545503.0</v>
      </c>
      <c r="AN113" s="5">
        <v>57280.0</v>
      </c>
      <c r="AO113" s="5">
        <v>57395.0</v>
      </c>
      <c r="AP113" s="5">
        <v>55424.0</v>
      </c>
      <c r="AQ113" s="5">
        <v>50960.0</v>
      </c>
      <c r="AR113" s="5">
        <v>48322.0</v>
      </c>
      <c r="AS113" s="5">
        <v>46013.0</v>
      </c>
      <c r="AT113" s="5">
        <v>42623.0</v>
      </c>
      <c r="AU113" s="5">
        <v>36009.0</v>
      </c>
      <c r="AV113" s="5">
        <v>32096.0</v>
      </c>
      <c r="AW113" s="5">
        <v>27270.0</v>
      </c>
      <c r="AX113" s="5">
        <v>24111.0</v>
      </c>
      <c r="AY113" s="5">
        <v>20449.0</v>
      </c>
      <c r="AZ113" s="5">
        <v>17678.0</v>
      </c>
      <c r="BA113" s="5">
        <v>12583.0</v>
      </c>
      <c r="BB113" s="5">
        <v>7726.0</v>
      </c>
      <c r="BC113" s="5">
        <v>4743.0</v>
      </c>
      <c r="BD113" s="5">
        <v>4821.0</v>
      </c>
      <c r="BE113" s="4"/>
      <c r="BF113" s="4"/>
      <c r="BG113" s="4"/>
      <c r="BH113" s="4"/>
      <c r="BI113" s="4"/>
      <c r="BJ113" s="4"/>
    </row>
    <row r="114">
      <c r="A114" s="5"/>
      <c r="B114" s="5" t="s">
        <v>205</v>
      </c>
      <c r="C114" s="5">
        <v>680481.0</v>
      </c>
      <c r="D114" s="5">
        <v>70494.0</v>
      </c>
      <c r="E114" s="5">
        <v>69228.0</v>
      </c>
      <c r="F114" s="5">
        <v>70290.0</v>
      </c>
      <c r="G114" s="5">
        <v>62295.0</v>
      </c>
      <c r="H114" s="5">
        <v>59324.0</v>
      </c>
      <c r="I114" s="5">
        <v>55672.0</v>
      </c>
      <c r="J114" s="5">
        <v>52544.0</v>
      </c>
      <c r="K114" s="5">
        <v>44387.0</v>
      </c>
      <c r="L114" s="5">
        <v>40421.0</v>
      </c>
      <c r="M114" s="5">
        <v>35274.0</v>
      </c>
      <c r="N114" s="5">
        <v>31302.0</v>
      </c>
      <c r="O114" s="5">
        <v>27129.0</v>
      </c>
      <c r="P114" s="5">
        <v>23499.0</v>
      </c>
      <c r="Q114" s="5">
        <v>16665.0</v>
      </c>
      <c r="R114" s="5">
        <v>10412.0</v>
      </c>
      <c r="S114" s="5">
        <v>5734.0</v>
      </c>
      <c r="T114" s="5">
        <v>5811.0</v>
      </c>
      <c r="U114" s="5">
        <v>349638.0</v>
      </c>
      <c r="V114" s="5">
        <v>36324.0</v>
      </c>
      <c r="W114" s="5">
        <v>36053.0</v>
      </c>
      <c r="X114" s="5">
        <v>36163.0</v>
      </c>
      <c r="Y114" s="5">
        <v>31886.0</v>
      </c>
      <c r="Z114" s="5">
        <v>30422.0</v>
      </c>
      <c r="AA114" s="5">
        <v>28738.0</v>
      </c>
      <c r="AB114" s="5">
        <v>27755.0</v>
      </c>
      <c r="AC114" s="5">
        <v>23399.0</v>
      </c>
      <c r="AD114" s="5">
        <v>21479.0</v>
      </c>
      <c r="AE114" s="5">
        <v>18570.0</v>
      </c>
      <c r="AF114" s="5">
        <v>15879.0</v>
      </c>
      <c r="AG114" s="5">
        <v>13670.0</v>
      </c>
      <c r="AH114" s="5">
        <v>11723.0</v>
      </c>
      <c r="AI114" s="5">
        <v>7959.0</v>
      </c>
      <c r="AJ114" s="5">
        <v>4839.0</v>
      </c>
      <c r="AK114" s="5">
        <v>2537.0</v>
      </c>
      <c r="AL114" s="5">
        <v>2242.0</v>
      </c>
      <c r="AM114" s="5">
        <v>330843.0</v>
      </c>
      <c r="AN114" s="5">
        <v>34170.0</v>
      </c>
      <c r="AO114" s="5">
        <v>33175.0</v>
      </c>
      <c r="AP114" s="5">
        <v>34127.0</v>
      </c>
      <c r="AQ114" s="5">
        <v>30409.0</v>
      </c>
      <c r="AR114" s="5">
        <v>28902.0</v>
      </c>
      <c r="AS114" s="5">
        <v>26934.0</v>
      </c>
      <c r="AT114" s="5">
        <v>24789.0</v>
      </c>
      <c r="AU114" s="5">
        <v>20988.0</v>
      </c>
      <c r="AV114" s="5">
        <v>18942.0</v>
      </c>
      <c r="AW114" s="5">
        <v>16704.0</v>
      </c>
      <c r="AX114" s="5">
        <v>15423.0</v>
      </c>
      <c r="AY114" s="5">
        <v>13459.0</v>
      </c>
      <c r="AZ114" s="5">
        <v>11776.0</v>
      </c>
      <c r="BA114" s="5">
        <v>8706.0</v>
      </c>
      <c r="BB114" s="5">
        <v>5573.0</v>
      </c>
      <c r="BC114" s="5">
        <v>3197.0</v>
      </c>
      <c r="BD114" s="5">
        <v>3569.0</v>
      </c>
      <c r="BE114" s="4"/>
      <c r="BF114" s="4"/>
      <c r="BG114" s="4"/>
      <c r="BH114" s="4"/>
      <c r="BI114" s="4"/>
      <c r="BJ114" s="4"/>
    </row>
    <row r="115">
      <c r="A115" s="5"/>
      <c r="B115" s="5" t="s">
        <v>206</v>
      </c>
      <c r="C115" s="5">
        <v>317159.0</v>
      </c>
      <c r="D115" s="5">
        <v>38121.0</v>
      </c>
      <c r="E115" s="5">
        <v>39375.0</v>
      </c>
      <c r="F115" s="5">
        <v>38764.0</v>
      </c>
      <c r="G115" s="5">
        <v>31995.0</v>
      </c>
      <c r="H115" s="5">
        <v>26823.0</v>
      </c>
      <c r="I115" s="5">
        <v>23734.0</v>
      </c>
      <c r="J115" s="5">
        <v>21902.0</v>
      </c>
      <c r="K115" s="5">
        <v>18515.0</v>
      </c>
      <c r="L115" s="5">
        <v>16882.0</v>
      </c>
      <c r="M115" s="5">
        <v>15545.0</v>
      </c>
      <c r="N115" s="5">
        <v>12667.0</v>
      </c>
      <c r="O115" s="5">
        <v>10324.0</v>
      </c>
      <c r="P115" s="5">
        <v>8706.0</v>
      </c>
      <c r="Q115" s="5">
        <v>5876.0</v>
      </c>
      <c r="R115" s="5">
        <v>3542.0</v>
      </c>
      <c r="S115" s="5">
        <v>1955.0</v>
      </c>
      <c r="T115" s="5">
        <v>2433.0</v>
      </c>
      <c r="U115" s="5">
        <v>164526.0</v>
      </c>
      <c r="V115" s="5">
        <v>19613.0</v>
      </c>
      <c r="W115" s="5">
        <v>20130.0</v>
      </c>
      <c r="X115" s="5">
        <v>19746.0</v>
      </c>
      <c r="Y115" s="5">
        <v>16357.0</v>
      </c>
      <c r="Z115" s="5">
        <v>13929.0</v>
      </c>
      <c r="AA115" s="5">
        <v>12428.0</v>
      </c>
      <c r="AB115" s="5">
        <v>11843.0</v>
      </c>
      <c r="AC115" s="5">
        <v>10055.0</v>
      </c>
      <c r="AD115" s="5">
        <v>9017.0</v>
      </c>
      <c r="AE115" s="5">
        <v>8296.0</v>
      </c>
      <c r="AF115" s="5">
        <v>6578.0</v>
      </c>
      <c r="AG115" s="5">
        <v>5591.0</v>
      </c>
      <c r="AH115" s="5">
        <v>4400.0</v>
      </c>
      <c r="AI115" s="5">
        <v>2934.0</v>
      </c>
      <c r="AJ115" s="5">
        <v>1706.0</v>
      </c>
      <c r="AK115" s="5">
        <v>899.0</v>
      </c>
      <c r="AL115" s="5">
        <v>1004.0</v>
      </c>
      <c r="AM115" s="5">
        <v>152633.0</v>
      </c>
      <c r="AN115" s="5">
        <v>18508.0</v>
      </c>
      <c r="AO115" s="5">
        <v>19245.0</v>
      </c>
      <c r="AP115" s="5">
        <v>19018.0</v>
      </c>
      <c r="AQ115" s="5">
        <v>15638.0</v>
      </c>
      <c r="AR115" s="5">
        <v>12894.0</v>
      </c>
      <c r="AS115" s="5">
        <v>11306.0</v>
      </c>
      <c r="AT115" s="5">
        <v>10059.0</v>
      </c>
      <c r="AU115" s="5">
        <v>8460.0</v>
      </c>
      <c r="AV115" s="5">
        <v>7865.0</v>
      </c>
      <c r="AW115" s="5">
        <v>7249.0</v>
      </c>
      <c r="AX115" s="5">
        <v>6089.0</v>
      </c>
      <c r="AY115" s="5">
        <v>4733.0</v>
      </c>
      <c r="AZ115" s="5">
        <v>4306.0</v>
      </c>
      <c r="BA115" s="5">
        <v>2942.0</v>
      </c>
      <c r="BB115" s="5">
        <v>1836.0</v>
      </c>
      <c r="BC115" s="5">
        <v>1056.0</v>
      </c>
      <c r="BD115" s="5">
        <v>1429.0</v>
      </c>
      <c r="BE115" s="4"/>
      <c r="BF115" s="4"/>
      <c r="BG115" s="4"/>
      <c r="BH115" s="4"/>
      <c r="BI115" s="4"/>
      <c r="BJ115" s="4"/>
    </row>
    <row r="116">
      <c r="A116" s="5"/>
      <c r="B116" s="5" t="s">
        <v>207</v>
      </c>
      <c r="C116" s="5">
        <v>576343.0</v>
      </c>
      <c r="D116" s="5">
        <v>59352.0</v>
      </c>
      <c r="E116" s="5">
        <v>64484.0</v>
      </c>
      <c r="F116" s="5">
        <v>64689.0</v>
      </c>
      <c r="G116" s="5">
        <v>58905.0</v>
      </c>
      <c r="H116" s="5">
        <v>50425.0</v>
      </c>
      <c r="I116" s="5">
        <v>43471.0</v>
      </c>
      <c r="J116" s="5">
        <v>39634.0</v>
      </c>
      <c r="K116" s="5">
        <v>33340.0</v>
      </c>
      <c r="L116" s="5">
        <v>31859.0</v>
      </c>
      <c r="M116" s="5">
        <v>29577.0</v>
      </c>
      <c r="N116" s="5">
        <v>26913.0</v>
      </c>
      <c r="O116" s="5">
        <v>22797.0</v>
      </c>
      <c r="P116" s="5">
        <v>18586.0</v>
      </c>
      <c r="Q116" s="5">
        <v>13148.0</v>
      </c>
      <c r="R116" s="5">
        <v>8681.0</v>
      </c>
      <c r="S116" s="5">
        <v>5224.0</v>
      </c>
      <c r="T116" s="5">
        <v>5258.0</v>
      </c>
      <c r="U116" s="5">
        <v>298089.0</v>
      </c>
      <c r="V116" s="5">
        <v>30656.0</v>
      </c>
      <c r="W116" s="5">
        <v>33130.0</v>
      </c>
      <c r="X116" s="5">
        <v>33207.0</v>
      </c>
      <c r="Y116" s="5">
        <v>29980.0</v>
      </c>
      <c r="Z116" s="5">
        <v>26059.0</v>
      </c>
      <c r="AA116" s="5">
        <v>22887.0</v>
      </c>
      <c r="AB116" s="5">
        <v>21059.0</v>
      </c>
      <c r="AC116" s="5">
        <v>18109.0</v>
      </c>
      <c r="AD116" s="5">
        <v>17212.0</v>
      </c>
      <c r="AE116" s="5">
        <v>15657.0</v>
      </c>
      <c r="AF116" s="5">
        <v>14013.0</v>
      </c>
      <c r="AG116" s="5">
        <v>11771.0</v>
      </c>
      <c r="AH116" s="5">
        <v>9418.0</v>
      </c>
      <c r="AI116" s="5">
        <v>6380.0</v>
      </c>
      <c r="AJ116" s="5">
        <v>4137.0</v>
      </c>
      <c r="AK116" s="5">
        <v>2338.0</v>
      </c>
      <c r="AL116" s="5">
        <v>2076.0</v>
      </c>
      <c r="AM116" s="5">
        <v>278254.0</v>
      </c>
      <c r="AN116" s="5">
        <v>28696.0</v>
      </c>
      <c r="AO116" s="5">
        <v>31354.0</v>
      </c>
      <c r="AP116" s="5">
        <v>31482.0</v>
      </c>
      <c r="AQ116" s="5">
        <v>28925.0</v>
      </c>
      <c r="AR116" s="5">
        <v>24366.0</v>
      </c>
      <c r="AS116" s="5">
        <v>20584.0</v>
      </c>
      <c r="AT116" s="5">
        <v>18575.0</v>
      </c>
      <c r="AU116" s="5">
        <v>15231.0</v>
      </c>
      <c r="AV116" s="5">
        <v>14647.0</v>
      </c>
      <c r="AW116" s="5">
        <v>13920.0</v>
      </c>
      <c r="AX116" s="5">
        <v>12900.0</v>
      </c>
      <c r="AY116" s="5">
        <v>11026.0</v>
      </c>
      <c r="AZ116" s="5">
        <v>9168.0</v>
      </c>
      <c r="BA116" s="5">
        <v>6768.0</v>
      </c>
      <c r="BB116" s="5">
        <v>4544.0</v>
      </c>
      <c r="BC116" s="5">
        <v>2886.0</v>
      </c>
      <c r="BD116" s="5">
        <v>3182.0</v>
      </c>
      <c r="BE116" s="4"/>
      <c r="BF116" s="4"/>
      <c r="BG116" s="4"/>
      <c r="BH116" s="4"/>
      <c r="BI116" s="4"/>
      <c r="BJ116" s="4"/>
    </row>
    <row r="117">
      <c r="A117" s="5"/>
      <c r="B117" s="5" t="s">
        <v>208</v>
      </c>
      <c r="C117" s="5">
        <v>1776949.0</v>
      </c>
      <c r="D117" s="5">
        <v>177322.0</v>
      </c>
      <c r="E117" s="5">
        <v>176216.0</v>
      </c>
      <c r="F117" s="5">
        <v>172839.0</v>
      </c>
      <c r="G117" s="5">
        <v>162028.0</v>
      </c>
      <c r="H117" s="5">
        <v>175403.0</v>
      </c>
      <c r="I117" s="5">
        <v>164369.0</v>
      </c>
      <c r="J117" s="5">
        <v>146449.0</v>
      </c>
      <c r="K117" s="5">
        <v>123677.0</v>
      </c>
      <c r="L117" s="5">
        <v>109886.0</v>
      </c>
      <c r="M117" s="5">
        <v>91399.0</v>
      </c>
      <c r="N117" s="5">
        <v>76362.0</v>
      </c>
      <c r="O117" s="5">
        <v>62672.0</v>
      </c>
      <c r="P117" s="5">
        <v>52884.0</v>
      </c>
      <c r="Q117" s="5">
        <v>37980.0</v>
      </c>
      <c r="R117" s="5">
        <v>23223.0</v>
      </c>
      <c r="S117" s="5">
        <v>12605.0</v>
      </c>
      <c r="T117" s="5">
        <v>11635.0</v>
      </c>
      <c r="U117" s="5">
        <v>902118.0</v>
      </c>
      <c r="V117" s="5">
        <v>91232.0</v>
      </c>
      <c r="W117" s="5">
        <v>91343.0</v>
      </c>
      <c r="X117" s="5">
        <v>88868.0</v>
      </c>
      <c r="Y117" s="5">
        <v>81953.0</v>
      </c>
      <c r="Z117" s="5">
        <v>88194.0</v>
      </c>
      <c r="AA117" s="5">
        <v>84014.0</v>
      </c>
      <c r="AB117" s="5">
        <v>76208.0</v>
      </c>
      <c r="AC117" s="5">
        <v>64259.0</v>
      </c>
      <c r="AD117" s="5">
        <v>57021.0</v>
      </c>
      <c r="AE117" s="5">
        <v>47027.0</v>
      </c>
      <c r="AF117" s="5">
        <v>38289.0</v>
      </c>
      <c r="AG117" s="5">
        <v>30757.0</v>
      </c>
      <c r="AH117" s="5">
        <v>25355.0</v>
      </c>
      <c r="AI117" s="5">
        <v>17826.0</v>
      </c>
      <c r="AJ117" s="5">
        <v>10339.0</v>
      </c>
      <c r="AK117" s="5">
        <v>5204.0</v>
      </c>
      <c r="AL117" s="5">
        <v>4229.0</v>
      </c>
      <c r="AM117" s="5">
        <v>874831.0</v>
      </c>
      <c r="AN117" s="5">
        <v>86090.0</v>
      </c>
      <c r="AO117" s="5">
        <v>84873.0</v>
      </c>
      <c r="AP117" s="5">
        <v>83971.0</v>
      </c>
      <c r="AQ117" s="5">
        <v>80075.0</v>
      </c>
      <c r="AR117" s="5">
        <v>87209.0</v>
      </c>
      <c r="AS117" s="5">
        <v>80355.0</v>
      </c>
      <c r="AT117" s="5">
        <v>70241.0</v>
      </c>
      <c r="AU117" s="5">
        <v>59418.0</v>
      </c>
      <c r="AV117" s="5">
        <v>52865.0</v>
      </c>
      <c r="AW117" s="5">
        <v>44372.0</v>
      </c>
      <c r="AX117" s="5">
        <v>38073.0</v>
      </c>
      <c r="AY117" s="5">
        <v>31915.0</v>
      </c>
      <c r="AZ117" s="5">
        <v>27529.0</v>
      </c>
      <c r="BA117" s="5">
        <v>20154.0</v>
      </c>
      <c r="BB117" s="5">
        <v>12884.0</v>
      </c>
      <c r="BC117" s="5">
        <v>7401.0</v>
      </c>
      <c r="BD117" s="5">
        <v>7406.0</v>
      </c>
      <c r="BE117" s="4"/>
      <c r="BF117" s="4"/>
      <c r="BG117" s="4"/>
      <c r="BH117" s="4"/>
      <c r="BI117" s="4"/>
      <c r="BJ117" s="4"/>
    </row>
    <row r="118">
      <c r="A118" s="5"/>
      <c r="B118" s="5" t="s">
        <v>209</v>
      </c>
      <c r="C118" s="5">
        <v>4360974.0</v>
      </c>
      <c r="D118" s="5">
        <v>470277.0</v>
      </c>
      <c r="E118" s="5">
        <v>491283.0</v>
      </c>
      <c r="F118" s="5">
        <v>478008.0</v>
      </c>
      <c r="G118" s="5">
        <v>441922.0</v>
      </c>
      <c r="H118" s="5">
        <v>403416.0</v>
      </c>
      <c r="I118" s="5">
        <v>366829.0</v>
      </c>
      <c r="J118" s="5">
        <v>325476.0</v>
      </c>
      <c r="K118" s="5">
        <v>277351.0</v>
      </c>
      <c r="L118" s="5">
        <v>250800.0</v>
      </c>
      <c r="M118" s="5">
        <v>216553.0</v>
      </c>
      <c r="N118" s="5">
        <v>184784.0</v>
      </c>
      <c r="O118" s="5">
        <v>146270.0</v>
      </c>
      <c r="P118" s="5">
        <v>115780.0</v>
      </c>
      <c r="Q118" s="5">
        <v>81358.0</v>
      </c>
      <c r="R118" s="5">
        <v>50723.0</v>
      </c>
      <c r="S118" s="5">
        <v>30329.0</v>
      </c>
      <c r="T118" s="5">
        <v>29815.0</v>
      </c>
      <c r="U118" s="5">
        <v>2232939.0</v>
      </c>
      <c r="V118" s="5">
        <v>242323.0</v>
      </c>
      <c r="W118" s="5">
        <v>254052.0</v>
      </c>
      <c r="X118" s="5">
        <v>245479.0</v>
      </c>
      <c r="Y118" s="5">
        <v>224465.0</v>
      </c>
      <c r="Z118" s="5">
        <v>206017.0</v>
      </c>
      <c r="AA118" s="5">
        <v>188709.0</v>
      </c>
      <c r="AB118" s="5">
        <v>170485.0</v>
      </c>
      <c r="AC118" s="5">
        <v>145041.0</v>
      </c>
      <c r="AD118" s="5">
        <v>131462.0</v>
      </c>
      <c r="AE118" s="5">
        <v>112932.0</v>
      </c>
      <c r="AF118" s="5">
        <v>95396.0</v>
      </c>
      <c r="AG118" s="5">
        <v>74499.0</v>
      </c>
      <c r="AH118" s="5">
        <v>57181.0</v>
      </c>
      <c r="AI118" s="5">
        <v>38920.0</v>
      </c>
      <c r="AJ118" s="5">
        <v>22748.0</v>
      </c>
      <c r="AK118" s="5">
        <v>12434.0</v>
      </c>
      <c r="AL118" s="5">
        <v>10796.0</v>
      </c>
      <c r="AM118" s="5">
        <v>2128035.0</v>
      </c>
      <c r="AN118" s="5">
        <v>227954.0</v>
      </c>
      <c r="AO118" s="5">
        <v>237231.0</v>
      </c>
      <c r="AP118" s="5">
        <v>232529.0</v>
      </c>
      <c r="AQ118" s="5">
        <v>217457.0</v>
      </c>
      <c r="AR118" s="5">
        <v>197399.0</v>
      </c>
      <c r="AS118" s="5">
        <v>178120.0</v>
      </c>
      <c r="AT118" s="5">
        <v>154991.0</v>
      </c>
      <c r="AU118" s="5">
        <v>132310.0</v>
      </c>
      <c r="AV118" s="5">
        <v>119338.0</v>
      </c>
      <c r="AW118" s="5">
        <v>103621.0</v>
      </c>
      <c r="AX118" s="5">
        <v>89388.0</v>
      </c>
      <c r="AY118" s="5">
        <v>71771.0</v>
      </c>
      <c r="AZ118" s="5">
        <v>58599.0</v>
      </c>
      <c r="BA118" s="5">
        <v>42438.0</v>
      </c>
      <c r="BB118" s="5">
        <v>27975.0</v>
      </c>
      <c r="BC118" s="5">
        <v>17895.0</v>
      </c>
      <c r="BD118" s="5">
        <v>19019.0</v>
      </c>
      <c r="BE118" s="4"/>
      <c r="BF118" s="4"/>
      <c r="BG118" s="4"/>
      <c r="BH118" s="4"/>
      <c r="BI118" s="4"/>
      <c r="BJ118" s="4"/>
    </row>
    <row r="119">
      <c r="A119" s="5"/>
      <c r="B119" s="5" t="s">
        <v>210</v>
      </c>
      <c r="C119" s="5">
        <v>1275185.0</v>
      </c>
      <c r="D119" s="5">
        <v>133785.0</v>
      </c>
      <c r="E119" s="5">
        <v>145194.0</v>
      </c>
      <c r="F119" s="5">
        <v>142030.0</v>
      </c>
      <c r="G119" s="5">
        <v>129478.0</v>
      </c>
      <c r="H119" s="5">
        <v>112276.0</v>
      </c>
      <c r="I119" s="5">
        <v>103858.0</v>
      </c>
      <c r="J119" s="5">
        <v>93390.0</v>
      </c>
      <c r="K119" s="5">
        <v>80281.0</v>
      </c>
      <c r="L119" s="5">
        <v>72466.0</v>
      </c>
      <c r="M119" s="5">
        <v>63515.0</v>
      </c>
      <c r="N119" s="5">
        <v>55818.0</v>
      </c>
      <c r="O119" s="5">
        <v>44899.0</v>
      </c>
      <c r="P119" s="5">
        <v>36276.0</v>
      </c>
      <c r="Q119" s="5">
        <v>25897.0</v>
      </c>
      <c r="R119" s="5">
        <v>16186.0</v>
      </c>
      <c r="S119" s="5">
        <v>9902.0</v>
      </c>
      <c r="T119" s="5">
        <v>9934.0</v>
      </c>
      <c r="U119" s="5">
        <v>653821.0</v>
      </c>
      <c r="V119" s="5">
        <v>69122.0</v>
      </c>
      <c r="W119" s="5">
        <v>75030.0</v>
      </c>
      <c r="X119" s="5">
        <v>73279.0</v>
      </c>
      <c r="Y119" s="5">
        <v>66071.0</v>
      </c>
      <c r="Z119" s="5">
        <v>57800.0</v>
      </c>
      <c r="AA119" s="5">
        <v>53197.0</v>
      </c>
      <c r="AB119" s="5">
        <v>49028.0</v>
      </c>
      <c r="AC119" s="5">
        <v>41833.0</v>
      </c>
      <c r="AD119" s="5">
        <v>38029.0</v>
      </c>
      <c r="AE119" s="5">
        <v>33152.0</v>
      </c>
      <c r="AF119" s="5">
        <v>28808.0</v>
      </c>
      <c r="AG119" s="5">
        <v>22830.0</v>
      </c>
      <c r="AH119" s="5">
        <v>17980.0</v>
      </c>
      <c r="AI119" s="5">
        <v>12450.0</v>
      </c>
      <c r="AJ119" s="5">
        <v>7330.0</v>
      </c>
      <c r="AK119" s="5">
        <v>4130.0</v>
      </c>
      <c r="AL119" s="5">
        <v>3752.0</v>
      </c>
      <c r="AM119" s="5">
        <v>621364.0</v>
      </c>
      <c r="AN119" s="5">
        <v>64663.0</v>
      </c>
      <c r="AO119" s="5">
        <v>70164.0</v>
      </c>
      <c r="AP119" s="5">
        <v>68751.0</v>
      </c>
      <c r="AQ119" s="5">
        <v>63407.0</v>
      </c>
      <c r="AR119" s="5">
        <v>54476.0</v>
      </c>
      <c r="AS119" s="5">
        <v>50661.0</v>
      </c>
      <c r="AT119" s="5">
        <v>44362.0</v>
      </c>
      <c r="AU119" s="5">
        <v>38448.0</v>
      </c>
      <c r="AV119" s="5">
        <v>34437.0</v>
      </c>
      <c r="AW119" s="5">
        <v>30363.0</v>
      </c>
      <c r="AX119" s="5">
        <v>27010.0</v>
      </c>
      <c r="AY119" s="5">
        <v>22069.0</v>
      </c>
      <c r="AZ119" s="5">
        <v>18296.0</v>
      </c>
      <c r="BA119" s="5">
        <v>13447.0</v>
      </c>
      <c r="BB119" s="5">
        <v>8856.0</v>
      </c>
      <c r="BC119" s="5">
        <v>5772.0</v>
      </c>
      <c r="BD119" s="5">
        <v>6182.0</v>
      </c>
      <c r="BE119" s="4"/>
      <c r="BF119" s="4"/>
      <c r="BG119" s="4"/>
      <c r="BH119" s="4"/>
      <c r="BI119" s="4"/>
      <c r="BJ119" s="4"/>
    </row>
    <row r="120">
      <c r="A120" s="5"/>
      <c r="B120" s="5" t="s">
        <v>211</v>
      </c>
      <c r="C120" s="5">
        <v>558946.0</v>
      </c>
      <c r="D120" s="5">
        <v>64992.0</v>
      </c>
      <c r="E120" s="5">
        <v>66808.0</v>
      </c>
      <c r="F120" s="5">
        <v>64506.0</v>
      </c>
      <c r="G120" s="5">
        <v>59117.0</v>
      </c>
      <c r="H120" s="5">
        <v>51648.0</v>
      </c>
      <c r="I120" s="5">
        <v>46152.0</v>
      </c>
      <c r="J120" s="5">
        <v>39750.0</v>
      </c>
      <c r="K120" s="5">
        <v>33936.0</v>
      </c>
      <c r="L120" s="5">
        <v>30251.0</v>
      </c>
      <c r="M120" s="5">
        <v>26781.0</v>
      </c>
      <c r="N120" s="5">
        <v>22021.0</v>
      </c>
      <c r="O120" s="5">
        <v>17399.0</v>
      </c>
      <c r="P120" s="5">
        <v>13537.0</v>
      </c>
      <c r="Q120" s="5">
        <v>9362.0</v>
      </c>
      <c r="R120" s="5">
        <v>5792.0</v>
      </c>
      <c r="S120" s="5">
        <v>3525.0</v>
      </c>
      <c r="T120" s="5">
        <v>3369.0</v>
      </c>
      <c r="U120" s="5">
        <v>289480.0</v>
      </c>
      <c r="V120" s="5">
        <v>33383.0</v>
      </c>
      <c r="W120" s="5">
        <v>34420.0</v>
      </c>
      <c r="X120" s="5">
        <v>32957.0</v>
      </c>
      <c r="Y120" s="5">
        <v>30163.0</v>
      </c>
      <c r="Z120" s="5">
        <v>26731.0</v>
      </c>
      <c r="AA120" s="5">
        <v>24061.0</v>
      </c>
      <c r="AB120" s="5">
        <v>21284.0</v>
      </c>
      <c r="AC120" s="5">
        <v>18114.0</v>
      </c>
      <c r="AD120" s="5">
        <v>16181.0</v>
      </c>
      <c r="AE120" s="5">
        <v>14064.0</v>
      </c>
      <c r="AF120" s="5">
        <v>11660.0</v>
      </c>
      <c r="AG120" s="5">
        <v>9072.0</v>
      </c>
      <c r="AH120" s="5">
        <v>6939.0</v>
      </c>
      <c r="AI120" s="5">
        <v>4744.0</v>
      </c>
      <c r="AJ120" s="5">
        <v>2733.0</v>
      </c>
      <c r="AK120" s="5">
        <v>1598.0</v>
      </c>
      <c r="AL120" s="5">
        <v>1376.0</v>
      </c>
      <c r="AM120" s="5">
        <v>269466.0</v>
      </c>
      <c r="AN120" s="5">
        <v>31609.0</v>
      </c>
      <c r="AO120" s="5">
        <v>32388.0</v>
      </c>
      <c r="AP120" s="5">
        <v>31549.0</v>
      </c>
      <c r="AQ120" s="5">
        <v>28954.0</v>
      </c>
      <c r="AR120" s="5">
        <v>24917.0</v>
      </c>
      <c r="AS120" s="5">
        <v>22091.0</v>
      </c>
      <c r="AT120" s="5">
        <v>18466.0</v>
      </c>
      <c r="AU120" s="5">
        <v>15822.0</v>
      </c>
      <c r="AV120" s="5">
        <v>14070.0</v>
      </c>
      <c r="AW120" s="5">
        <v>12717.0</v>
      </c>
      <c r="AX120" s="5">
        <v>10361.0</v>
      </c>
      <c r="AY120" s="5">
        <v>8327.0</v>
      </c>
      <c r="AZ120" s="5">
        <v>6598.0</v>
      </c>
      <c r="BA120" s="5">
        <v>4618.0</v>
      </c>
      <c r="BB120" s="5">
        <v>3059.0</v>
      </c>
      <c r="BC120" s="5">
        <v>1927.0</v>
      </c>
      <c r="BD120" s="5">
        <v>1993.0</v>
      </c>
      <c r="BE120" s="4"/>
      <c r="BF120" s="4"/>
      <c r="BG120" s="4"/>
      <c r="BH120" s="4"/>
      <c r="BI120" s="4"/>
      <c r="BJ120" s="4"/>
    </row>
    <row r="121">
      <c r="A121" s="5"/>
      <c r="B121" s="5" t="s">
        <v>212</v>
      </c>
      <c r="C121" s="5">
        <v>975476.0</v>
      </c>
      <c r="D121" s="5">
        <v>104611.0</v>
      </c>
      <c r="E121" s="5">
        <v>106738.0</v>
      </c>
      <c r="F121" s="5">
        <v>104615.0</v>
      </c>
      <c r="G121" s="5">
        <v>96349.0</v>
      </c>
      <c r="H121" s="5">
        <v>88285.0</v>
      </c>
      <c r="I121" s="5">
        <v>82378.0</v>
      </c>
      <c r="J121" s="5">
        <v>73938.0</v>
      </c>
      <c r="K121" s="5">
        <v>62966.0</v>
      </c>
      <c r="L121" s="5">
        <v>58257.0</v>
      </c>
      <c r="M121" s="5">
        <v>49118.0</v>
      </c>
      <c r="N121" s="5">
        <v>41761.0</v>
      </c>
      <c r="O121" s="5">
        <v>33484.0</v>
      </c>
      <c r="P121" s="5">
        <v>27008.0</v>
      </c>
      <c r="Q121" s="5">
        <v>19286.0</v>
      </c>
      <c r="R121" s="5">
        <v>12054.0</v>
      </c>
      <c r="S121" s="5">
        <v>7453.0</v>
      </c>
      <c r="T121" s="5">
        <v>7175.0</v>
      </c>
      <c r="U121" s="5">
        <v>498578.0</v>
      </c>
      <c r="V121" s="5">
        <v>53782.0</v>
      </c>
      <c r="W121" s="5">
        <v>55369.0</v>
      </c>
      <c r="X121" s="5">
        <v>53753.0</v>
      </c>
      <c r="Y121" s="5">
        <v>49208.0</v>
      </c>
      <c r="Z121" s="5">
        <v>44890.0</v>
      </c>
      <c r="AA121" s="5">
        <v>42533.0</v>
      </c>
      <c r="AB121" s="5">
        <v>38845.0</v>
      </c>
      <c r="AC121" s="5">
        <v>33131.0</v>
      </c>
      <c r="AD121" s="5">
        <v>30531.0</v>
      </c>
      <c r="AE121" s="5">
        <v>25577.0</v>
      </c>
      <c r="AF121" s="5">
        <v>21494.0</v>
      </c>
      <c r="AG121" s="5">
        <v>16890.0</v>
      </c>
      <c r="AH121" s="5">
        <v>13107.0</v>
      </c>
      <c r="AI121" s="5">
        <v>8941.0</v>
      </c>
      <c r="AJ121" s="5">
        <v>5227.0</v>
      </c>
      <c r="AK121" s="5">
        <v>2888.0</v>
      </c>
      <c r="AL121" s="5">
        <v>2412.0</v>
      </c>
      <c r="AM121" s="5">
        <v>476898.0</v>
      </c>
      <c r="AN121" s="5">
        <v>50829.0</v>
      </c>
      <c r="AO121" s="5">
        <v>51369.0</v>
      </c>
      <c r="AP121" s="5">
        <v>50862.0</v>
      </c>
      <c r="AQ121" s="5">
        <v>47141.0</v>
      </c>
      <c r="AR121" s="5">
        <v>43395.0</v>
      </c>
      <c r="AS121" s="5">
        <v>39845.0</v>
      </c>
      <c r="AT121" s="5">
        <v>35093.0</v>
      </c>
      <c r="AU121" s="5">
        <v>29835.0</v>
      </c>
      <c r="AV121" s="5">
        <v>27726.0</v>
      </c>
      <c r="AW121" s="5">
        <v>23541.0</v>
      </c>
      <c r="AX121" s="5">
        <v>20267.0</v>
      </c>
      <c r="AY121" s="5">
        <v>16594.0</v>
      </c>
      <c r="AZ121" s="5">
        <v>13901.0</v>
      </c>
      <c r="BA121" s="5">
        <v>10345.0</v>
      </c>
      <c r="BB121" s="5">
        <v>6827.0</v>
      </c>
      <c r="BC121" s="5">
        <v>4565.0</v>
      </c>
      <c r="BD121" s="5">
        <v>4763.0</v>
      </c>
      <c r="BE121" s="4"/>
      <c r="BF121" s="4"/>
      <c r="BG121" s="4"/>
      <c r="BH121" s="4"/>
      <c r="BI121" s="4"/>
      <c r="BJ121" s="4"/>
    </row>
    <row r="122">
      <c r="A122" s="5"/>
      <c r="B122" s="5" t="s">
        <v>213</v>
      </c>
      <c r="C122" s="5">
        <v>854052.0</v>
      </c>
      <c r="D122" s="5">
        <v>94984.0</v>
      </c>
      <c r="E122" s="5">
        <v>98362.0</v>
      </c>
      <c r="F122" s="5">
        <v>95793.0</v>
      </c>
      <c r="G122" s="5">
        <v>91138.0</v>
      </c>
      <c r="H122" s="5">
        <v>81629.0</v>
      </c>
      <c r="I122" s="5">
        <v>71434.0</v>
      </c>
      <c r="J122" s="5">
        <v>62649.0</v>
      </c>
      <c r="K122" s="5">
        <v>52829.0</v>
      </c>
      <c r="L122" s="5">
        <v>47173.0</v>
      </c>
      <c r="M122" s="5">
        <v>40656.0</v>
      </c>
      <c r="N122" s="5">
        <v>34306.0</v>
      </c>
      <c r="O122" s="5">
        <v>26382.0</v>
      </c>
      <c r="P122" s="5">
        <v>21005.0</v>
      </c>
      <c r="Q122" s="5">
        <v>14825.0</v>
      </c>
      <c r="R122" s="5">
        <v>9598.0</v>
      </c>
      <c r="S122" s="5">
        <v>5541.0</v>
      </c>
      <c r="T122" s="5">
        <v>5748.0</v>
      </c>
      <c r="U122" s="5">
        <v>437331.0</v>
      </c>
      <c r="V122" s="5">
        <v>48827.0</v>
      </c>
      <c r="W122" s="5">
        <v>50677.0</v>
      </c>
      <c r="X122" s="5">
        <v>49046.0</v>
      </c>
      <c r="Y122" s="5">
        <v>46026.0</v>
      </c>
      <c r="Z122" s="5">
        <v>41486.0</v>
      </c>
      <c r="AA122" s="5">
        <v>36775.0</v>
      </c>
      <c r="AB122" s="5">
        <v>32483.0</v>
      </c>
      <c r="AC122" s="5">
        <v>27595.0</v>
      </c>
      <c r="AD122" s="5">
        <v>24904.0</v>
      </c>
      <c r="AE122" s="5">
        <v>21545.0</v>
      </c>
      <c r="AF122" s="5">
        <v>18017.0</v>
      </c>
      <c r="AG122" s="5">
        <v>13779.0</v>
      </c>
      <c r="AH122" s="5">
        <v>10440.0</v>
      </c>
      <c r="AI122" s="5">
        <v>7107.0</v>
      </c>
      <c r="AJ122" s="5">
        <v>4370.0</v>
      </c>
      <c r="AK122" s="5">
        <v>2238.0</v>
      </c>
      <c r="AL122" s="5">
        <v>2016.0</v>
      </c>
      <c r="AM122" s="5">
        <v>416721.0</v>
      </c>
      <c r="AN122" s="5">
        <v>46157.0</v>
      </c>
      <c r="AO122" s="5">
        <v>47685.0</v>
      </c>
      <c r="AP122" s="5">
        <v>46747.0</v>
      </c>
      <c r="AQ122" s="5">
        <v>45112.0</v>
      </c>
      <c r="AR122" s="5">
        <v>40143.0</v>
      </c>
      <c r="AS122" s="5">
        <v>34659.0</v>
      </c>
      <c r="AT122" s="5">
        <v>30166.0</v>
      </c>
      <c r="AU122" s="5">
        <v>25234.0</v>
      </c>
      <c r="AV122" s="5">
        <v>22269.0</v>
      </c>
      <c r="AW122" s="5">
        <v>19111.0</v>
      </c>
      <c r="AX122" s="5">
        <v>16289.0</v>
      </c>
      <c r="AY122" s="5">
        <v>12603.0</v>
      </c>
      <c r="AZ122" s="5">
        <v>10565.0</v>
      </c>
      <c r="BA122" s="5">
        <v>7718.0</v>
      </c>
      <c r="BB122" s="5">
        <v>5228.0</v>
      </c>
      <c r="BC122" s="5">
        <v>3303.0</v>
      </c>
      <c r="BD122" s="5">
        <v>3732.0</v>
      </c>
      <c r="BE122" s="4"/>
      <c r="BF122" s="4"/>
      <c r="BG122" s="4"/>
      <c r="BH122" s="4"/>
      <c r="BI122" s="4"/>
      <c r="BJ122" s="4"/>
    </row>
    <row r="123">
      <c r="A123" s="5"/>
      <c r="B123" s="5" t="s">
        <v>214</v>
      </c>
      <c r="C123" s="5">
        <v>697315.0</v>
      </c>
      <c r="D123" s="5">
        <v>71905.0</v>
      </c>
      <c r="E123" s="5">
        <v>74181.0</v>
      </c>
      <c r="F123" s="5">
        <v>71064.0</v>
      </c>
      <c r="G123" s="5">
        <v>65840.0</v>
      </c>
      <c r="H123" s="5">
        <v>69578.0</v>
      </c>
      <c r="I123" s="5">
        <v>63007.0</v>
      </c>
      <c r="J123" s="5">
        <v>55749.0</v>
      </c>
      <c r="K123" s="5">
        <v>47339.0</v>
      </c>
      <c r="L123" s="5">
        <v>42653.0</v>
      </c>
      <c r="M123" s="5">
        <v>36483.0</v>
      </c>
      <c r="N123" s="5">
        <v>30878.0</v>
      </c>
      <c r="O123" s="5">
        <v>24106.0</v>
      </c>
      <c r="P123" s="5">
        <v>17954.0</v>
      </c>
      <c r="Q123" s="5">
        <v>11988.0</v>
      </c>
      <c r="R123" s="5">
        <v>7093.0</v>
      </c>
      <c r="S123" s="5">
        <v>3908.0</v>
      </c>
      <c r="T123" s="5">
        <v>3589.0</v>
      </c>
      <c r="U123" s="5">
        <v>353729.0</v>
      </c>
      <c r="V123" s="5">
        <v>37209.0</v>
      </c>
      <c r="W123" s="5">
        <v>38556.0</v>
      </c>
      <c r="X123" s="5">
        <v>36444.0</v>
      </c>
      <c r="Y123" s="5">
        <v>32997.0</v>
      </c>
      <c r="Z123" s="5">
        <v>35110.0</v>
      </c>
      <c r="AA123" s="5">
        <v>32143.0</v>
      </c>
      <c r="AB123" s="5">
        <v>28845.0</v>
      </c>
      <c r="AC123" s="5">
        <v>24368.0</v>
      </c>
      <c r="AD123" s="5">
        <v>21817.0</v>
      </c>
      <c r="AE123" s="5">
        <v>18594.0</v>
      </c>
      <c r="AF123" s="5">
        <v>15417.0</v>
      </c>
      <c r="AG123" s="5">
        <v>11928.0</v>
      </c>
      <c r="AH123" s="5">
        <v>8715.0</v>
      </c>
      <c r="AI123" s="5">
        <v>5678.0</v>
      </c>
      <c r="AJ123" s="5">
        <v>3088.0</v>
      </c>
      <c r="AK123" s="5">
        <v>1580.0</v>
      </c>
      <c r="AL123" s="5">
        <v>1240.0</v>
      </c>
      <c r="AM123" s="5">
        <v>343586.0</v>
      </c>
      <c r="AN123" s="5">
        <v>34696.0</v>
      </c>
      <c r="AO123" s="5">
        <v>35625.0</v>
      </c>
      <c r="AP123" s="5">
        <v>34620.0</v>
      </c>
      <c r="AQ123" s="5">
        <v>32843.0</v>
      </c>
      <c r="AR123" s="5">
        <v>34468.0</v>
      </c>
      <c r="AS123" s="5">
        <v>30864.0</v>
      </c>
      <c r="AT123" s="5">
        <v>26904.0</v>
      </c>
      <c r="AU123" s="5">
        <v>22971.0</v>
      </c>
      <c r="AV123" s="5">
        <v>20836.0</v>
      </c>
      <c r="AW123" s="5">
        <v>17889.0</v>
      </c>
      <c r="AX123" s="5">
        <v>15461.0</v>
      </c>
      <c r="AY123" s="5">
        <v>12178.0</v>
      </c>
      <c r="AZ123" s="5">
        <v>9239.0</v>
      </c>
      <c r="BA123" s="5">
        <v>6310.0</v>
      </c>
      <c r="BB123" s="5">
        <v>4005.0</v>
      </c>
      <c r="BC123" s="5">
        <v>2328.0</v>
      </c>
      <c r="BD123" s="5">
        <v>2349.0</v>
      </c>
      <c r="BE123" s="4"/>
      <c r="BF123" s="4"/>
      <c r="BG123" s="4"/>
      <c r="BH123" s="4"/>
      <c r="BI123" s="4"/>
      <c r="BJ123" s="4"/>
    </row>
    <row r="124">
      <c r="A124" s="5"/>
      <c r="B124" s="5" t="s">
        <v>215</v>
      </c>
      <c r="C124" s="5">
        <v>2804788.0</v>
      </c>
      <c r="D124" s="5">
        <v>284996.0</v>
      </c>
      <c r="E124" s="5">
        <v>316717.0</v>
      </c>
      <c r="F124" s="5">
        <v>306377.0</v>
      </c>
      <c r="G124" s="5">
        <v>289967.0</v>
      </c>
      <c r="H124" s="5">
        <v>250211.0</v>
      </c>
      <c r="I124" s="5">
        <v>224288.0</v>
      </c>
      <c r="J124" s="5">
        <v>198706.0</v>
      </c>
      <c r="K124" s="5">
        <v>167442.0</v>
      </c>
      <c r="L124" s="5">
        <v>150666.0</v>
      </c>
      <c r="M124" s="5">
        <v>136861.0</v>
      </c>
      <c r="N124" s="5">
        <v>125562.0</v>
      </c>
      <c r="O124" s="5">
        <v>108940.0</v>
      </c>
      <c r="P124" s="5">
        <v>88313.0</v>
      </c>
      <c r="Q124" s="5">
        <v>62366.0</v>
      </c>
      <c r="R124" s="5">
        <v>41092.0</v>
      </c>
      <c r="S124" s="5">
        <v>26750.0</v>
      </c>
      <c r="T124" s="5">
        <v>25534.0</v>
      </c>
      <c r="U124" s="5">
        <v>1441814.0</v>
      </c>
      <c r="V124" s="5">
        <v>147557.0</v>
      </c>
      <c r="W124" s="5">
        <v>164180.0</v>
      </c>
      <c r="X124" s="5">
        <v>158063.0</v>
      </c>
      <c r="Y124" s="5">
        <v>148896.0</v>
      </c>
      <c r="Z124" s="5">
        <v>128900.0</v>
      </c>
      <c r="AA124" s="5">
        <v>116751.0</v>
      </c>
      <c r="AB124" s="5">
        <v>105309.0</v>
      </c>
      <c r="AC124" s="5">
        <v>89149.0</v>
      </c>
      <c r="AD124" s="5">
        <v>79232.0</v>
      </c>
      <c r="AE124" s="5">
        <v>71127.0</v>
      </c>
      <c r="AF124" s="5">
        <v>64315.0</v>
      </c>
      <c r="AG124" s="5">
        <v>55018.0</v>
      </c>
      <c r="AH124" s="5">
        <v>43809.0</v>
      </c>
      <c r="AI124" s="5">
        <v>30035.0</v>
      </c>
      <c r="AJ124" s="5">
        <v>18601.0</v>
      </c>
      <c r="AK124" s="5">
        <v>11237.0</v>
      </c>
      <c r="AL124" s="5">
        <v>9635.0</v>
      </c>
      <c r="AM124" s="5">
        <v>1362974.0</v>
      </c>
      <c r="AN124" s="5">
        <v>137439.0</v>
      </c>
      <c r="AO124" s="5">
        <v>152537.0</v>
      </c>
      <c r="AP124" s="5">
        <v>148314.0</v>
      </c>
      <c r="AQ124" s="5">
        <v>141071.0</v>
      </c>
      <c r="AR124" s="5">
        <v>121311.0</v>
      </c>
      <c r="AS124" s="5">
        <v>107537.0</v>
      </c>
      <c r="AT124" s="5">
        <v>93397.0</v>
      </c>
      <c r="AU124" s="5">
        <v>78293.0</v>
      </c>
      <c r="AV124" s="5">
        <v>71434.0</v>
      </c>
      <c r="AW124" s="5">
        <v>65734.0</v>
      </c>
      <c r="AX124" s="5">
        <v>61247.0</v>
      </c>
      <c r="AY124" s="5">
        <v>53922.0</v>
      </c>
      <c r="AZ124" s="5">
        <v>44504.0</v>
      </c>
      <c r="BA124" s="5">
        <v>32331.0</v>
      </c>
      <c r="BB124" s="5">
        <v>22491.0</v>
      </c>
      <c r="BC124" s="5">
        <v>15513.0</v>
      </c>
      <c r="BD124" s="5">
        <v>15899.0</v>
      </c>
      <c r="BE124" s="4"/>
      <c r="BF124" s="4"/>
      <c r="BG124" s="4"/>
      <c r="BH124" s="4"/>
      <c r="BI124" s="4"/>
      <c r="BJ124" s="4"/>
    </row>
    <row r="125">
      <c r="A125" s="5"/>
      <c r="B125" s="5" t="s">
        <v>216</v>
      </c>
      <c r="C125" s="5">
        <v>387503.0</v>
      </c>
      <c r="D125" s="5">
        <v>38482.0</v>
      </c>
      <c r="E125" s="5">
        <v>43837.0</v>
      </c>
      <c r="F125" s="5">
        <v>43233.0</v>
      </c>
      <c r="G125" s="5">
        <v>39696.0</v>
      </c>
      <c r="H125" s="5">
        <v>34258.0</v>
      </c>
      <c r="I125" s="5">
        <v>30434.0</v>
      </c>
      <c r="J125" s="5">
        <v>27836.0</v>
      </c>
      <c r="K125" s="5">
        <v>23003.0</v>
      </c>
      <c r="L125" s="5">
        <v>20640.0</v>
      </c>
      <c r="M125" s="5">
        <v>18510.0</v>
      </c>
      <c r="N125" s="5">
        <v>17366.0</v>
      </c>
      <c r="O125" s="5">
        <v>15443.0</v>
      </c>
      <c r="P125" s="5">
        <v>12751.0</v>
      </c>
      <c r="Q125" s="5">
        <v>9135.0</v>
      </c>
      <c r="R125" s="5">
        <v>5647.0</v>
      </c>
      <c r="S125" s="5">
        <v>3562.0</v>
      </c>
      <c r="T125" s="5">
        <v>3670.0</v>
      </c>
      <c r="U125" s="5">
        <v>199054.0</v>
      </c>
      <c r="V125" s="5">
        <v>19849.0</v>
      </c>
      <c r="W125" s="5">
        <v>22809.0</v>
      </c>
      <c r="X125" s="5">
        <v>22458.0</v>
      </c>
      <c r="Y125" s="5">
        <v>20337.0</v>
      </c>
      <c r="Z125" s="5">
        <v>17676.0</v>
      </c>
      <c r="AA125" s="5">
        <v>15813.0</v>
      </c>
      <c r="AB125" s="5">
        <v>14721.0</v>
      </c>
      <c r="AC125" s="5">
        <v>12176.0</v>
      </c>
      <c r="AD125" s="5">
        <v>10834.0</v>
      </c>
      <c r="AE125" s="5">
        <v>9494.0</v>
      </c>
      <c r="AF125" s="5">
        <v>8866.0</v>
      </c>
      <c r="AG125" s="5">
        <v>7756.0</v>
      </c>
      <c r="AH125" s="5">
        <v>6311.0</v>
      </c>
      <c r="AI125" s="5">
        <v>4421.0</v>
      </c>
      <c r="AJ125" s="5">
        <v>2614.0</v>
      </c>
      <c r="AK125" s="5">
        <v>1483.0</v>
      </c>
      <c r="AL125" s="5">
        <v>1436.0</v>
      </c>
      <c r="AM125" s="5">
        <v>188449.0</v>
      </c>
      <c r="AN125" s="5">
        <v>18633.0</v>
      </c>
      <c r="AO125" s="5">
        <v>21028.0</v>
      </c>
      <c r="AP125" s="5">
        <v>20775.0</v>
      </c>
      <c r="AQ125" s="5">
        <v>19359.0</v>
      </c>
      <c r="AR125" s="5">
        <v>16582.0</v>
      </c>
      <c r="AS125" s="5">
        <v>14621.0</v>
      </c>
      <c r="AT125" s="5">
        <v>13115.0</v>
      </c>
      <c r="AU125" s="5">
        <v>10827.0</v>
      </c>
      <c r="AV125" s="5">
        <v>9806.0</v>
      </c>
      <c r="AW125" s="5">
        <v>9016.0</v>
      </c>
      <c r="AX125" s="5">
        <v>8500.0</v>
      </c>
      <c r="AY125" s="5">
        <v>7687.0</v>
      </c>
      <c r="AZ125" s="5">
        <v>6440.0</v>
      </c>
      <c r="BA125" s="5">
        <v>4714.0</v>
      </c>
      <c r="BB125" s="5">
        <v>3033.0</v>
      </c>
      <c r="BC125" s="5">
        <v>2079.0</v>
      </c>
      <c r="BD125" s="5">
        <v>2234.0</v>
      </c>
      <c r="BE125" s="4"/>
      <c r="BF125" s="4"/>
      <c r="BG125" s="4"/>
      <c r="BH125" s="4"/>
      <c r="BI125" s="4"/>
      <c r="BJ125" s="4"/>
    </row>
    <row r="126">
      <c r="A126" s="5"/>
      <c r="B126" s="5" t="s">
        <v>217</v>
      </c>
      <c r="C126" s="5">
        <v>739367.0</v>
      </c>
      <c r="D126" s="5">
        <v>81149.0</v>
      </c>
      <c r="E126" s="5">
        <v>91107.0</v>
      </c>
      <c r="F126" s="5">
        <v>86733.0</v>
      </c>
      <c r="G126" s="5">
        <v>77730.0</v>
      </c>
      <c r="H126" s="5">
        <v>62870.0</v>
      </c>
      <c r="I126" s="5">
        <v>59037.0</v>
      </c>
      <c r="J126" s="5">
        <v>52373.0</v>
      </c>
      <c r="K126" s="5">
        <v>43200.0</v>
      </c>
      <c r="L126" s="5">
        <v>37802.0</v>
      </c>
      <c r="M126" s="5">
        <v>34524.0</v>
      </c>
      <c r="N126" s="5">
        <v>31288.0</v>
      </c>
      <c r="O126" s="5">
        <v>26690.0</v>
      </c>
      <c r="P126" s="5">
        <v>21123.0</v>
      </c>
      <c r="Q126" s="5">
        <v>14097.0</v>
      </c>
      <c r="R126" s="5">
        <v>8886.0</v>
      </c>
      <c r="S126" s="5">
        <v>5551.0</v>
      </c>
      <c r="T126" s="5">
        <v>5207.0</v>
      </c>
      <c r="U126" s="5">
        <v>384425.0</v>
      </c>
      <c r="V126" s="5">
        <v>42073.0</v>
      </c>
      <c r="W126" s="5">
        <v>47140.0</v>
      </c>
      <c r="X126" s="5">
        <v>44841.0</v>
      </c>
      <c r="Y126" s="5">
        <v>39980.0</v>
      </c>
      <c r="Z126" s="5">
        <v>32470.0</v>
      </c>
      <c r="AA126" s="5">
        <v>30857.0</v>
      </c>
      <c r="AB126" s="5">
        <v>28280.0</v>
      </c>
      <c r="AC126" s="5">
        <v>23373.0</v>
      </c>
      <c r="AD126" s="5">
        <v>20259.0</v>
      </c>
      <c r="AE126" s="5">
        <v>18382.0</v>
      </c>
      <c r="AF126" s="5">
        <v>16344.0</v>
      </c>
      <c r="AG126" s="5">
        <v>13862.0</v>
      </c>
      <c r="AH126" s="5">
        <v>10772.0</v>
      </c>
      <c r="AI126" s="5">
        <v>7040.0</v>
      </c>
      <c r="AJ126" s="5">
        <v>4202.0</v>
      </c>
      <c r="AK126" s="5">
        <v>2417.0</v>
      </c>
      <c r="AL126" s="5">
        <v>2133.0</v>
      </c>
      <c r="AM126" s="5">
        <v>354942.0</v>
      </c>
      <c r="AN126" s="5">
        <v>39076.0</v>
      </c>
      <c r="AO126" s="5">
        <v>43967.0</v>
      </c>
      <c r="AP126" s="5">
        <v>41892.0</v>
      </c>
      <c r="AQ126" s="5">
        <v>37750.0</v>
      </c>
      <c r="AR126" s="5">
        <v>30400.0</v>
      </c>
      <c r="AS126" s="5">
        <v>28180.0</v>
      </c>
      <c r="AT126" s="5">
        <v>24093.0</v>
      </c>
      <c r="AU126" s="5">
        <v>19827.0</v>
      </c>
      <c r="AV126" s="5">
        <v>17543.0</v>
      </c>
      <c r="AW126" s="5">
        <v>16142.0</v>
      </c>
      <c r="AX126" s="5">
        <v>14944.0</v>
      </c>
      <c r="AY126" s="5">
        <v>12828.0</v>
      </c>
      <c r="AZ126" s="5">
        <v>10351.0</v>
      </c>
      <c r="BA126" s="5">
        <v>7057.0</v>
      </c>
      <c r="BB126" s="5">
        <v>4684.0</v>
      </c>
      <c r="BC126" s="5">
        <v>3134.0</v>
      </c>
      <c r="BD126" s="5">
        <v>3074.0</v>
      </c>
      <c r="BE126" s="4"/>
      <c r="BF126" s="4"/>
      <c r="BG126" s="4"/>
      <c r="BH126" s="4"/>
      <c r="BI126" s="4"/>
      <c r="BJ126" s="4"/>
    </row>
    <row r="127">
      <c r="A127" s="5"/>
      <c r="B127" s="5" t="s">
        <v>218</v>
      </c>
      <c r="C127" s="5">
        <v>128117.0</v>
      </c>
      <c r="D127" s="5">
        <v>12994.0</v>
      </c>
      <c r="E127" s="5">
        <v>14006.0</v>
      </c>
      <c r="F127" s="5">
        <v>13616.0</v>
      </c>
      <c r="G127" s="5">
        <v>13298.0</v>
      </c>
      <c r="H127" s="5">
        <v>11335.0</v>
      </c>
      <c r="I127" s="5">
        <v>9939.0</v>
      </c>
      <c r="J127" s="5">
        <v>8372.0</v>
      </c>
      <c r="K127" s="5">
        <v>7041.0</v>
      </c>
      <c r="L127" s="5">
        <v>6347.0</v>
      </c>
      <c r="M127" s="5">
        <v>6185.0</v>
      </c>
      <c r="N127" s="5">
        <v>5824.0</v>
      </c>
      <c r="O127" s="5">
        <v>5073.0</v>
      </c>
      <c r="P127" s="5">
        <v>4331.0</v>
      </c>
      <c r="Q127" s="5">
        <v>3442.0</v>
      </c>
      <c r="R127" s="5">
        <v>2626.0</v>
      </c>
      <c r="S127" s="5">
        <v>1900.0</v>
      </c>
      <c r="T127" s="5">
        <v>1788.0</v>
      </c>
      <c r="U127" s="5">
        <v>65313.0</v>
      </c>
      <c r="V127" s="5">
        <v>6685.0</v>
      </c>
      <c r="W127" s="5">
        <v>7165.0</v>
      </c>
      <c r="X127" s="5">
        <v>7046.0</v>
      </c>
      <c r="Y127" s="5">
        <v>6910.0</v>
      </c>
      <c r="Z127" s="5">
        <v>5751.0</v>
      </c>
      <c r="AA127" s="5">
        <v>5121.0</v>
      </c>
      <c r="AB127" s="5">
        <v>4383.0</v>
      </c>
      <c r="AC127" s="5">
        <v>3722.0</v>
      </c>
      <c r="AD127" s="5">
        <v>3387.0</v>
      </c>
      <c r="AE127" s="5">
        <v>3165.0</v>
      </c>
      <c r="AF127" s="5">
        <v>2955.0</v>
      </c>
      <c r="AG127" s="5">
        <v>2531.0</v>
      </c>
      <c r="AH127" s="5">
        <v>2080.0</v>
      </c>
      <c r="AI127" s="5">
        <v>1650.0</v>
      </c>
      <c r="AJ127" s="5">
        <v>1146.0</v>
      </c>
      <c r="AK127" s="5">
        <v>860.0</v>
      </c>
      <c r="AL127" s="5">
        <v>756.0</v>
      </c>
      <c r="AM127" s="5">
        <v>62804.0</v>
      </c>
      <c r="AN127" s="5">
        <v>6309.0</v>
      </c>
      <c r="AO127" s="5">
        <v>6841.0</v>
      </c>
      <c r="AP127" s="5">
        <v>6570.0</v>
      </c>
      <c r="AQ127" s="5">
        <v>6388.0</v>
      </c>
      <c r="AR127" s="5">
        <v>5584.0</v>
      </c>
      <c r="AS127" s="5">
        <v>4818.0</v>
      </c>
      <c r="AT127" s="5">
        <v>3989.0</v>
      </c>
      <c r="AU127" s="5">
        <v>3319.0</v>
      </c>
      <c r="AV127" s="5">
        <v>2960.0</v>
      </c>
      <c r="AW127" s="5">
        <v>3020.0</v>
      </c>
      <c r="AX127" s="5">
        <v>2869.0</v>
      </c>
      <c r="AY127" s="5">
        <v>2542.0</v>
      </c>
      <c r="AZ127" s="5">
        <v>2251.0</v>
      </c>
      <c r="BA127" s="5">
        <v>1792.0</v>
      </c>
      <c r="BB127" s="5">
        <v>1480.0</v>
      </c>
      <c r="BC127" s="5">
        <v>1040.0</v>
      </c>
      <c r="BD127" s="5">
        <v>1032.0</v>
      </c>
      <c r="BE127" s="4"/>
      <c r="BF127" s="4"/>
      <c r="BG127" s="4"/>
      <c r="BH127" s="4"/>
      <c r="BI127" s="4"/>
      <c r="BJ127" s="4"/>
    </row>
    <row r="128">
      <c r="A128" s="5"/>
      <c r="B128" s="5" t="s">
        <v>219</v>
      </c>
      <c r="C128" s="5">
        <v>534636.0</v>
      </c>
      <c r="D128" s="5">
        <v>51562.0</v>
      </c>
      <c r="E128" s="5">
        <v>56048.0</v>
      </c>
      <c r="F128" s="5">
        <v>54233.0</v>
      </c>
      <c r="G128" s="5">
        <v>56152.0</v>
      </c>
      <c r="H128" s="5">
        <v>50642.0</v>
      </c>
      <c r="I128" s="5">
        <v>42905.0</v>
      </c>
      <c r="J128" s="5">
        <v>37816.0</v>
      </c>
      <c r="K128" s="5">
        <v>32896.0</v>
      </c>
      <c r="L128" s="5">
        <v>30211.0</v>
      </c>
      <c r="M128" s="5">
        <v>27538.0</v>
      </c>
      <c r="N128" s="5">
        <v>24558.0</v>
      </c>
      <c r="O128" s="5">
        <v>21098.0</v>
      </c>
      <c r="P128" s="5">
        <v>16995.0</v>
      </c>
      <c r="Q128" s="5">
        <v>12166.0</v>
      </c>
      <c r="R128" s="5">
        <v>8349.0</v>
      </c>
      <c r="S128" s="5">
        <v>6054.0</v>
      </c>
      <c r="T128" s="5">
        <v>5413.0</v>
      </c>
      <c r="U128" s="5">
        <v>272871.0</v>
      </c>
      <c r="V128" s="5">
        <v>26741.0</v>
      </c>
      <c r="W128" s="5">
        <v>28993.0</v>
      </c>
      <c r="X128" s="5">
        <v>28038.0</v>
      </c>
      <c r="Y128" s="5">
        <v>28800.0</v>
      </c>
      <c r="Z128" s="5">
        <v>26219.0</v>
      </c>
      <c r="AA128" s="5">
        <v>22407.0</v>
      </c>
      <c r="AB128" s="5">
        <v>19815.0</v>
      </c>
      <c r="AC128" s="5">
        <v>17410.0</v>
      </c>
      <c r="AD128" s="5">
        <v>15697.0</v>
      </c>
      <c r="AE128" s="5">
        <v>14218.0</v>
      </c>
      <c r="AF128" s="5">
        <v>12387.0</v>
      </c>
      <c r="AG128" s="5">
        <v>10484.0</v>
      </c>
      <c r="AH128" s="5">
        <v>8283.0</v>
      </c>
      <c r="AI128" s="5">
        <v>5592.0</v>
      </c>
      <c r="AJ128" s="5">
        <v>3560.0</v>
      </c>
      <c r="AK128" s="5">
        <v>2378.0</v>
      </c>
      <c r="AL128" s="5">
        <v>1849.0</v>
      </c>
      <c r="AM128" s="5">
        <v>261765.0</v>
      </c>
      <c r="AN128" s="5">
        <v>24821.0</v>
      </c>
      <c r="AO128" s="5">
        <v>27055.0</v>
      </c>
      <c r="AP128" s="5">
        <v>26195.0</v>
      </c>
      <c r="AQ128" s="5">
        <v>27352.0</v>
      </c>
      <c r="AR128" s="5">
        <v>24423.0</v>
      </c>
      <c r="AS128" s="5">
        <v>20498.0</v>
      </c>
      <c r="AT128" s="5">
        <v>18001.0</v>
      </c>
      <c r="AU128" s="5">
        <v>15486.0</v>
      </c>
      <c r="AV128" s="5">
        <v>14514.0</v>
      </c>
      <c r="AW128" s="5">
        <v>13320.0</v>
      </c>
      <c r="AX128" s="5">
        <v>12171.0</v>
      </c>
      <c r="AY128" s="5">
        <v>10614.0</v>
      </c>
      <c r="AZ128" s="5">
        <v>8712.0</v>
      </c>
      <c r="BA128" s="5">
        <v>6574.0</v>
      </c>
      <c r="BB128" s="5">
        <v>4789.0</v>
      </c>
      <c r="BC128" s="5">
        <v>3676.0</v>
      </c>
      <c r="BD128" s="5">
        <v>3564.0</v>
      </c>
      <c r="BE128" s="4"/>
      <c r="BF128" s="4"/>
      <c r="BG128" s="4"/>
      <c r="BH128" s="4"/>
      <c r="BI128" s="4"/>
      <c r="BJ128" s="4"/>
    </row>
    <row r="129">
      <c r="A129" s="5"/>
      <c r="B129" s="5" t="s">
        <v>220</v>
      </c>
      <c r="C129" s="5">
        <v>642255.0</v>
      </c>
      <c r="D129" s="5">
        <v>66390.0</v>
      </c>
      <c r="E129" s="5">
        <v>72476.0</v>
      </c>
      <c r="F129" s="5">
        <v>69366.0</v>
      </c>
      <c r="G129" s="5">
        <v>65197.0</v>
      </c>
      <c r="H129" s="5">
        <v>56307.0</v>
      </c>
      <c r="I129" s="5">
        <v>50475.0</v>
      </c>
      <c r="J129" s="5">
        <v>44303.0</v>
      </c>
      <c r="K129" s="5">
        <v>38200.0</v>
      </c>
      <c r="L129" s="5">
        <v>34208.0</v>
      </c>
      <c r="M129" s="5">
        <v>31282.0</v>
      </c>
      <c r="N129" s="5">
        <v>29110.0</v>
      </c>
      <c r="O129" s="5">
        <v>25665.0</v>
      </c>
      <c r="P129" s="5">
        <v>21135.0</v>
      </c>
      <c r="Q129" s="5">
        <v>15222.0</v>
      </c>
      <c r="R129" s="5">
        <v>10044.0</v>
      </c>
      <c r="S129" s="5">
        <v>6513.0</v>
      </c>
      <c r="T129" s="5">
        <v>6362.0</v>
      </c>
      <c r="U129" s="5">
        <v>330782.0</v>
      </c>
      <c r="V129" s="5">
        <v>34343.0</v>
      </c>
      <c r="W129" s="5">
        <v>37695.0</v>
      </c>
      <c r="X129" s="5">
        <v>35570.0</v>
      </c>
      <c r="Y129" s="5">
        <v>33495.0</v>
      </c>
      <c r="Z129" s="5">
        <v>29180.0</v>
      </c>
      <c r="AA129" s="5">
        <v>26413.0</v>
      </c>
      <c r="AB129" s="5">
        <v>23700.0</v>
      </c>
      <c r="AC129" s="5">
        <v>20498.0</v>
      </c>
      <c r="AD129" s="5">
        <v>18001.0</v>
      </c>
      <c r="AE129" s="5">
        <v>16205.0</v>
      </c>
      <c r="AF129" s="5">
        <v>15008.0</v>
      </c>
      <c r="AG129" s="5">
        <v>12964.0</v>
      </c>
      <c r="AH129" s="5">
        <v>10521.0</v>
      </c>
      <c r="AI129" s="5">
        <v>7442.0</v>
      </c>
      <c r="AJ129" s="5">
        <v>4637.0</v>
      </c>
      <c r="AK129" s="5">
        <v>2792.0</v>
      </c>
      <c r="AL129" s="5">
        <v>2318.0</v>
      </c>
      <c r="AM129" s="5">
        <v>311473.0</v>
      </c>
      <c r="AN129" s="5">
        <v>32047.0</v>
      </c>
      <c r="AO129" s="5">
        <v>34781.0</v>
      </c>
      <c r="AP129" s="5">
        <v>33796.0</v>
      </c>
      <c r="AQ129" s="5">
        <v>31702.0</v>
      </c>
      <c r="AR129" s="5">
        <v>27127.0</v>
      </c>
      <c r="AS129" s="5">
        <v>24062.0</v>
      </c>
      <c r="AT129" s="5">
        <v>20603.0</v>
      </c>
      <c r="AU129" s="5">
        <v>17702.0</v>
      </c>
      <c r="AV129" s="5">
        <v>16207.0</v>
      </c>
      <c r="AW129" s="5">
        <v>15077.0</v>
      </c>
      <c r="AX129" s="5">
        <v>14102.0</v>
      </c>
      <c r="AY129" s="5">
        <v>12701.0</v>
      </c>
      <c r="AZ129" s="5">
        <v>10614.0</v>
      </c>
      <c r="BA129" s="5">
        <v>7780.0</v>
      </c>
      <c r="BB129" s="5">
        <v>5407.0</v>
      </c>
      <c r="BC129" s="5">
        <v>3721.0</v>
      </c>
      <c r="BD129" s="5">
        <v>4044.0</v>
      </c>
      <c r="BE129" s="4"/>
      <c r="BF129" s="4"/>
      <c r="BG129" s="4"/>
      <c r="BH129" s="4"/>
      <c r="BI129" s="4"/>
      <c r="BJ129" s="4"/>
    </row>
    <row r="130">
      <c r="A130" s="5"/>
      <c r="B130" s="5" t="s">
        <v>221</v>
      </c>
      <c r="C130" s="5">
        <v>372910.0</v>
      </c>
      <c r="D130" s="5">
        <v>34419.0</v>
      </c>
      <c r="E130" s="5">
        <v>39243.0</v>
      </c>
      <c r="F130" s="5">
        <v>39196.0</v>
      </c>
      <c r="G130" s="5">
        <v>37894.0</v>
      </c>
      <c r="H130" s="5">
        <v>34799.0</v>
      </c>
      <c r="I130" s="5">
        <v>31498.0</v>
      </c>
      <c r="J130" s="5">
        <v>28006.0</v>
      </c>
      <c r="K130" s="5">
        <v>23102.0</v>
      </c>
      <c r="L130" s="5">
        <v>21458.0</v>
      </c>
      <c r="M130" s="5">
        <v>18822.0</v>
      </c>
      <c r="N130" s="5">
        <v>17416.0</v>
      </c>
      <c r="O130" s="5">
        <v>14971.0</v>
      </c>
      <c r="P130" s="5">
        <v>11978.0</v>
      </c>
      <c r="Q130" s="5">
        <v>8304.0</v>
      </c>
      <c r="R130" s="5">
        <v>5540.0</v>
      </c>
      <c r="S130" s="5">
        <v>3170.0</v>
      </c>
      <c r="T130" s="5">
        <v>3094.0</v>
      </c>
      <c r="U130" s="5">
        <v>189369.0</v>
      </c>
      <c r="V130" s="5">
        <v>17866.0</v>
      </c>
      <c r="W130" s="5">
        <v>20378.0</v>
      </c>
      <c r="X130" s="5">
        <v>20110.0</v>
      </c>
      <c r="Y130" s="5">
        <v>19374.0</v>
      </c>
      <c r="Z130" s="5">
        <v>17604.0</v>
      </c>
      <c r="AA130" s="5">
        <v>16140.0</v>
      </c>
      <c r="AB130" s="5">
        <v>14410.0</v>
      </c>
      <c r="AC130" s="5">
        <v>11970.0</v>
      </c>
      <c r="AD130" s="5">
        <v>11054.0</v>
      </c>
      <c r="AE130" s="5">
        <v>9663.0</v>
      </c>
      <c r="AF130" s="5">
        <v>8755.0</v>
      </c>
      <c r="AG130" s="5">
        <v>7421.0</v>
      </c>
      <c r="AH130" s="5">
        <v>5842.0</v>
      </c>
      <c r="AI130" s="5">
        <v>3890.0</v>
      </c>
      <c r="AJ130" s="5">
        <v>2442.0</v>
      </c>
      <c r="AK130" s="5">
        <v>1307.0</v>
      </c>
      <c r="AL130" s="5">
        <v>1143.0</v>
      </c>
      <c r="AM130" s="5">
        <v>183541.0</v>
      </c>
      <c r="AN130" s="5">
        <v>16553.0</v>
      </c>
      <c r="AO130" s="5">
        <v>18865.0</v>
      </c>
      <c r="AP130" s="5">
        <v>19086.0</v>
      </c>
      <c r="AQ130" s="5">
        <v>18520.0</v>
      </c>
      <c r="AR130" s="5">
        <v>17195.0</v>
      </c>
      <c r="AS130" s="5">
        <v>15358.0</v>
      </c>
      <c r="AT130" s="5">
        <v>13596.0</v>
      </c>
      <c r="AU130" s="5">
        <v>11132.0</v>
      </c>
      <c r="AV130" s="5">
        <v>10404.0</v>
      </c>
      <c r="AW130" s="5">
        <v>9159.0</v>
      </c>
      <c r="AX130" s="5">
        <v>8661.0</v>
      </c>
      <c r="AY130" s="5">
        <v>7550.0</v>
      </c>
      <c r="AZ130" s="5">
        <v>6136.0</v>
      </c>
      <c r="BA130" s="5">
        <v>4414.0</v>
      </c>
      <c r="BB130" s="5">
        <v>3098.0</v>
      </c>
      <c r="BC130" s="5">
        <v>1863.0</v>
      </c>
      <c r="BD130" s="5">
        <v>1951.0</v>
      </c>
      <c r="BE130" s="4"/>
      <c r="BF130" s="4"/>
      <c r="BG130" s="4"/>
      <c r="BH130" s="4"/>
      <c r="BI130" s="4"/>
      <c r="BJ130" s="4"/>
    </row>
    <row r="131">
      <c r="A131" s="5"/>
      <c r="B131" s="5" t="s">
        <v>222</v>
      </c>
      <c r="C131" s="5">
        <v>4944800.0</v>
      </c>
      <c r="D131" s="5">
        <v>740924.0</v>
      </c>
      <c r="E131" s="5">
        <v>671823.0</v>
      </c>
      <c r="F131" s="5">
        <v>632775.0</v>
      </c>
      <c r="G131" s="5">
        <v>548840.0</v>
      </c>
      <c r="H131" s="5">
        <v>488157.0</v>
      </c>
      <c r="I131" s="5">
        <v>415725.0</v>
      </c>
      <c r="J131" s="5">
        <v>326154.0</v>
      </c>
      <c r="K131" s="5">
        <v>283540.0</v>
      </c>
      <c r="L131" s="5">
        <v>244859.0</v>
      </c>
      <c r="M131" s="5">
        <v>195789.0</v>
      </c>
      <c r="N131" s="5">
        <v>138624.0</v>
      </c>
      <c r="O131" s="5">
        <v>90860.0</v>
      </c>
      <c r="P131" s="5">
        <v>65994.0</v>
      </c>
      <c r="Q131" s="5">
        <v>46446.0</v>
      </c>
      <c r="R131" s="5">
        <v>26806.0</v>
      </c>
      <c r="S131" s="5">
        <v>13866.0</v>
      </c>
      <c r="T131" s="5">
        <v>13618.0</v>
      </c>
      <c r="U131" s="5">
        <v>2480287.0</v>
      </c>
      <c r="V131" s="5">
        <v>378839.0</v>
      </c>
      <c r="W131" s="5">
        <v>340058.0</v>
      </c>
      <c r="X131" s="5">
        <v>318282.0</v>
      </c>
      <c r="Y131" s="5">
        <v>273798.0</v>
      </c>
      <c r="Z131" s="5">
        <v>240038.0</v>
      </c>
      <c r="AA131" s="5">
        <v>201082.0</v>
      </c>
      <c r="AB131" s="5">
        <v>160137.0</v>
      </c>
      <c r="AC131" s="5">
        <v>137733.0</v>
      </c>
      <c r="AD131" s="5">
        <v>123065.0</v>
      </c>
      <c r="AE131" s="5">
        <v>100118.0</v>
      </c>
      <c r="AF131" s="5">
        <v>73833.0</v>
      </c>
      <c r="AG131" s="5">
        <v>48355.0</v>
      </c>
      <c r="AH131" s="5">
        <v>34566.0</v>
      </c>
      <c r="AI131" s="5">
        <v>23744.0</v>
      </c>
      <c r="AJ131" s="5">
        <v>13722.0</v>
      </c>
      <c r="AK131" s="5">
        <v>6823.0</v>
      </c>
      <c r="AL131" s="5">
        <v>6094.0</v>
      </c>
      <c r="AM131" s="5">
        <v>2464513.0</v>
      </c>
      <c r="AN131" s="5">
        <v>362085.0</v>
      </c>
      <c r="AO131" s="5">
        <v>331765.0</v>
      </c>
      <c r="AP131" s="5">
        <v>314493.0</v>
      </c>
      <c r="AQ131" s="5">
        <v>275042.0</v>
      </c>
      <c r="AR131" s="5">
        <v>248119.0</v>
      </c>
      <c r="AS131" s="5">
        <v>214643.0</v>
      </c>
      <c r="AT131" s="5">
        <v>166017.0</v>
      </c>
      <c r="AU131" s="5">
        <v>145807.0</v>
      </c>
      <c r="AV131" s="5">
        <v>121794.0</v>
      </c>
      <c r="AW131" s="5">
        <v>95671.0</v>
      </c>
      <c r="AX131" s="5">
        <v>64791.0</v>
      </c>
      <c r="AY131" s="5">
        <v>42505.0</v>
      </c>
      <c r="AZ131" s="5">
        <v>31428.0</v>
      </c>
      <c r="BA131" s="5">
        <v>22702.0</v>
      </c>
      <c r="BB131" s="5">
        <v>13084.0</v>
      </c>
      <c r="BC131" s="5">
        <v>7043.0</v>
      </c>
      <c r="BD131" s="5">
        <v>7524.0</v>
      </c>
      <c r="BE131" s="4"/>
      <c r="BF131" s="4"/>
      <c r="BG131" s="4"/>
      <c r="BH131" s="4"/>
      <c r="BI131" s="4"/>
      <c r="BJ131" s="4"/>
    </row>
    <row r="132">
      <c r="A132" s="5"/>
      <c r="B132" s="5" t="s">
        <v>223</v>
      </c>
      <c r="C132" s="5">
        <v>426207.0</v>
      </c>
      <c r="D132" s="5">
        <v>63997.0</v>
      </c>
      <c r="E132" s="5">
        <v>61659.0</v>
      </c>
      <c r="F132" s="5">
        <v>56609.0</v>
      </c>
      <c r="G132" s="5">
        <v>45085.0</v>
      </c>
      <c r="H132" s="5">
        <v>40271.0</v>
      </c>
      <c r="I132" s="5">
        <v>34694.0</v>
      </c>
      <c r="J132" s="5">
        <v>27501.0</v>
      </c>
      <c r="K132" s="5">
        <v>23791.0</v>
      </c>
      <c r="L132" s="5">
        <v>19574.0</v>
      </c>
      <c r="M132" s="5">
        <v>16324.0</v>
      </c>
      <c r="N132" s="5">
        <v>12237.0</v>
      </c>
      <c r="O132" s="5">
        <v>8621.0</v>
      </c>
      <c r="P132" s="5">
        <v>6262.0</v>
      </c>
      <c r="Q132" s="5">
        <v>4531.0</v>
      </c>
      <c r="R132" s="5">
        <v>2413.0</v>
      </c>
      <c r="S132" s="5">
        <v>1320.0</v>
      </c>
      <c r="T132" s="5">
        <v>1318.0</v>
      </c>
      <c r="U132" s="5">
        <v>214031.0</v>
      </c>
      <c r="V132" s="5">
        <v>32681.0</v>
      </c>
      <c r="W132" s="5">
        <v>31485.0</v>
      </c>
      <c r="X132" s="5">
        <v>28777.0</v>
      </c>
      <c r="Y132" s="5">
        <v>22756.0</v>
      </c>
      <c r="Z132" s="5">
        <v>19843.0</v>
      </c>
      <c r="AA132" s="5">
        <v>16947.0</v>
      </c>
      <c r="AB132" s="5">
        <v>13473.0</v>
      </c>
      <c r="AC132" s="5">
        <v>11491.0</v>
      </c>
      <c r="AD132" s="5">
        <v>9731.0</v>
      </c>
      <c r="AE132" s="5">
        <v>8328.0</v>
      </c>
      <c r="AF132" s="5">
        <v>6350.0</v>
      </c>
      <c r="AG132" s="5">
        <v>4463.0</v>
      </c>
      <c r="AH132" s="5">
        <v>3175.0</v>
      </c>
      <c r="AI132" s="5">
        <v>2220.0</v>
      </c>
      <c r="AJ132" s="5">
        <v>1171.0</v>
      </c>
      <c r="AK132" s="5">
        <v>605.0</v>
      </c>
      <c r="AL132" s="5">
        <v>535.0</v>
      </c>
      <c r="AM132" s="5">
        <v>212176.0</v>
      </c>
      <c r="AN132" s="5">
        <v>31316.0</v>
      </c>
      <c r="AO132" s="5">
        <v>30174.0</v>
      </c>
      <c r="AP132" s="5">
        <v>27832.0</v>
      </c>
      <c r="AQ132" s="5">
        <v>22329.0</v>
      </c>
      <c r="AR132" s="5">
        <v>20428.0</v>
      </c>
      <c r="AS132" s="5">
        <v>17747.0</v>
      </c>
      <c r="AT132" s="5">
        <v>14028.0</v>
      </c>
      <c r="AU132" s="5">
        <v>12300.0</v>
      </c>
      <c r="AV132" s="5">
        <v>9843.0</v>
      </c>
      <c r="AW132" s="5">
        <v>7996.0</v>
      </c>
      <c r="AX132" s="5">
        <v>5887.0</v>
      </c>
      <c r="AY132" s="5">
        <v>4158.0</v>
      </c>
      <c r="AZ132" s="5">
        <v>3087.0</v>
      </c>
      <c r="BA132" s="5">
        <v>2311.0</v>
      </c>
      <c r="BB132" s="5">
        <v>1242.0</v>
      </c>
      <c r="BC132" s="5">
        <v>715.0</v>
      </c>
      <c r="BD132" s="5">
        <v>783.0</v>
      </c>
      <c r="BE132" s="4"/>
      <c r="BF132" s="4"/>
      <c r="BG132" s="4"/>
      <c r="BH132" s="4"/>
      <c r="BI132" s="4"/>
      <c r="BJ132" s="4"/>
    </row>
    <row r="133">
      <c r="A133" s="5"/>
      <c r="B133" s="5" t="s">
        <v>224</v>
      </c>
      <c r="C133" s="5">
        <v>1195518.0</v>
      </c>
      <c r="D133" s="5">
        <v>182935.0</v>
      </c>
      <c r="E133" s="5">
        <v>160635.0</v>
      </c>
      <c r="F133" s="5">
        <v>156444.0</v>
      </c>
      <c r="G133" s="5">
        <v>137727.0</v>
      </c>
      <c r="H133" s="5">
        <v>123922.0</v>
      </c>
      <c r="I133" s="5">
        <v>101562.0</v>
      </c>
      <c r="J133" s="5">
        <v>75957.0</v>
      </c>
      <c r="K133" s="5">
        <v>63721.0</v>
      </c>
      <c r="L133" s="5">
        <v>55929.0</v>
      </c>
      <c r="M133" s="5">
        <v>44653.0</v>
      </c>
      <c r="N133" s="5">
        <v>32667.0</v>
      </c>
      <c r="O133" s="5">
        <v>20805.0</v>
      </c>
      <c r="P133" s="5">
        <v>15353.0</v>
      </c>
      <c r="Q133" s="5">
        <v>10969.0</v>
      </c>
      <c r="R133" s="5">
        <v>6000.0</v>
      </c>
      <c r="S133" s="5">
        <v>3125.0</v>
      </c>
      <c r="T133" s="5">
        <v>3114.0</v>
      </c>
      <c r="U133" s="5">
        <v>591362.0</v>
      </c>
      <c r="V133" s="5">
        <v>92540.0</v>
      </c>
      <c r="W133" s="5">
        <v>80289.0</v>
      </c>
      <c r="X133" s="5">
        <v>77283.0</v>
      </c>
      <c r="Y133" s="5">
        <v>67682.0</v>
      </c>
      <c r="Z133" s="5">
        <v>59898.0</v>
      </c>
      <c r="AA133" s="5">
        <v>48592.0</v>
      </c>
      <c r="AB133" s="5">
        <v>36639.0</v>
      </c>
      <c r="AC133" s="5">
        <v>30881.0</v>
      </c>
      <c r="AD133" s="5">
        <v>27485.0</v>
      </c>
      <c r="AE133" s="5">
        <v>22391.0</v>
      </c>
      <c r="AF133" s="5">
        <v>16822.0</v>
      </c>
      <c r="AG133" s="5">
        <v>11008.0</v>
      </c>
      <c r="AH133" s="5">
        <v>7984.0</v>
      </c>
      <c r="AI133" s="5">
        <v>5633.0</v>
      </c>
      <c r="AJ133" s="5">
        <v>3124.0</v>
      </c>
      <c r="AK133" s="5">
        <v>1633.0</v>
      </c>
      <c r="AL133" s="5">
        <v>1478.0</v>
      </c>
      <c r="AM133" s="5">
        <v>604156.0</v>
      </c>
      <c r="AN133" s="5">
        <v>90395.0</v>
      </c>
      <c r="AO133" s="5">
        <v>80346.0</v>
      </c>
      <c r="AP133" s="5">
        <v>79161.0</v>
      </c>
      <c r="AQ133" s="5">
        <v>70045.0</v>
      </c>
      <c r="AR133" s="5">
        <v>64024.0</v>
      </c>
      <c r="AS133" s="5">
        <v>52970.0</v>
      </c>
      <c r="AT133" s="5">
        <v>39318.0</v>
      </c>
      <c r="AU133" s="5">
        <v>32840.0</v>
      </c>
      <c r="AV133" s="5">
        <v>28444.0</v>
      </c>
      <c r="AW133" s="5">
        <v>22262.0</v>
      </c>
      <c r="AX133" s="5">
        <v>15845.0</v>
      </c>
      <c r="AY133" s="5">
        <v>9797.0</v>
      </c>
      <c r="AZ133" s="5">
        <v>7369.0</v>
      </c>
      <c r="BA133" s="5">
        <v>5336.0</v>
      </c>
      <c r="BB133" s="5">
        <v>2876.0</v>
      </c>
      <c r="BC133" s="5">
        <v>1492.0</v>
      </c>
      <c r="BD133" s="5">
        <v>1636.0</v>
      </c>
      <c r="BE133" s="4"/>
      <c r="BF133" s="4"/>
      <c r="BG133" s="4"/>
      <c r="BH133" s="4"/>
      <c r="BI133" s="4"/>
      <c r="BJ133" s="4"/>
    </row>
    <row r="134">
      <c r="A134" s="5"/>
      <c r="B134" s="5" t="s">
        <v>225</v>
      </c>
      <c r="C134" s="5">
        <v>1667258.0</v>
      </c>
      <c r="D134" s="5">
        <v>261467.0</v>
      </c>
      <c r="E134" s="5">
        <v>229077.0</v>
      </c>
      <c r="F134" s="5">
        <v>213670.0</v>
      </c>
      <c r="G134" s="5">
        <v>174820.0</v>
      </c>
      <c r="H134" s="5">
        <v>161019.0</v>
      </c>
      <c r="I134" s="5">
        <v>138718.0</v>
      </c>
      <c r="J134" s="5">
        <v>114131.0</v>
      </c>
      <c r="K134" s="5">
        <v>97260.0</v>
      </c>
      <c r="L134" s="5">
        <v>84621.0</v>
      </c>
      <c r="M134" s="5">
        <v>64522.0</v>
      </c>
      <c r="N134" s="5">
        <v>45623.0</v>
      </c>
      <c r="O134" s="5">
        <v>29784.0</v>
      </c>
      <c r="P134" s="5">
        <v>21451.0</v>
      </c>
      <c r="Q134" s="5">
        <v>14024.0</v>
      </c>
      <c r="R134" s="5">
        <v>8428.0</v>
      </c>
      <c r="S134" s="5">
        <v>4283.0</v>
      </c>
      <c r="T134" s="5">
        <v>4360.0</v>
      </c>
      <c r="U134" s="5">
        <v>845895.0</v>
      </c>
      <c r="V134" s="5">
        <v>135552.0</v>
      </c>
      <c r="W134" s="5">
        <v>117086.0</v>
      </c>
      <c r="X134" s="5">
        <v>108499.0</v>
      </c>
      <c r="Y134" s="5">
        <v>88601.0</v>
      </c>
      <c r="Z134" s="5">
        <v>80030.0</v>
      </c>
      <c r="AA134" s="5">
        <v>67575.0</v>
      </c>
      <c r="AB134" s="5">
        <v>56515.0</v>
      </c>
      <c r="AC134" s="5">
        <v>47411.0</v>
      </c>
      <c r="AD134" s="5">
        <v>43182.0</v>
      </c>
      <c r="AE134" s="5">
        <v>33450.0</v>
      </c>
      <c r="AF134" s="5">
        <v>24786.0</v>
      </c>
      <c r="AG134" s="5">
        <v>16189.0</v>
      </c>
      <c r="AH134" s="5">
        <v>11303.0</v>
      </c>
      <c r="AI134" s="5">
        <v>7378.0</v>
      </c>
      <c r="AJ134" s="5">
        <v>4325.0</v>
      </c>
      <c r="AK134" s="5">
        <v>2095.0</v>
      </c>
      <c r="AL134" s="5">
        <v>1918.0</v>
      </c>
      <c r="AM134" s="5">
        <v>821363.0</v>
      </c>
      <c r="AN134" s="5">
        <v>125915.0</v>
      </c>
      <c r="AO134" s="5">
        <v>111991.0</v>
      </c>
      <c r="AP134" s="5">
        <v>105171.0</v>
      </c>
      <c r="AQ134" s="5">
        <v>86219.0</v>
      </c>
      <c r="AR134" s="5">
        <v>80989.0</v>
      </c>
      <c r="AS134" s="5">
        <v>71143.0</v>
      </c>
      <c r="AT134" s="5">
        <v>57616.0</v>
      </c>
      <c r="AU134" s="5">
        <v>49849.0</v>
      </c>
      <c r="AV134" s="5">
        <v>41439.0</v>
      </c>
      <c r="AW134" s="5">
        <v>31072.0</v>
      </c>
      <c r="AX134" s="5">
        <v>20837.0</v>
      </c>
      <c r="AY134" s="5">
        <v>13595.0</v>
      </c>
      <c r="AZ134" s="5">
        <v>10148.0</v>
      </c>
      <c r="BA134" s="5">
        <v>6646.0</v>
      </c>
      <c r="BB134" s="5">
        <v>4103.0</v>
      </c>
      <c r="BC134" s="5">
        <v>2188.0</v>
      </c>
      <c r="BD134" s="5">
        <v>2442.0</v>
      </c>
      <c r="BE134" s="4"/>
      <c r="BF134" s="4"/>
      <c r="BG134" s="4"/>
      <c r="BH134" s="4"/>
      <c r="BI134" s="4"/>
      <c r="BJ134" s="4"/>
    </row>
    <row r="135">
      <c r="A135" s="5"/>
      <c r="B135" s="5" t="s">
        <v>226</v>
      </c>
      <c r="C135" s="5">
        <v>1000108.0</v>
      </c>
      <c r="D135" s="5">
        <v>130435.0</v>
      </c>
      <c r="E135" s="5">
        <v>135399.0</v>
      </c>
      <c r="F135" s="5">
        <v>130529.0</v>
      </c>
      <c r="G135" s="5">
        <v>122145.0</v>
      </c>
      <c r="H135" s="5">
        <v>101053.0</v>
      </c>
      <c r="I135" s="5">
        <v>84772.0</v>
      </c>
      <c r="J135" s="5">
        <v>63154.0</v>
      </c>
      <c r="K135" s="5">
        <v>58591.0</v>
      </c>
      <c r="L135" s="5">
        <v>50704.0</v>
      </c>
      <c r="M135" s="5">
        <v>42737.0</v>
      </c>
      <c r="N135" s="5">
        <v>28675.0</v>
      </c>
      <c r="O135" s="5">
        <v>18759.0</v>
      </c>
      <c r="P135" s="5">
        <v>13051.0</v>
      </c>
      <c r="Q135" s="5">
        <v>9293.0</v>
      </c>
      <c r="R135" s="5">
        <v>5470.0</v>
      </c>
      <c r="S135" s="5">
        <v>2727.0</v>
      </c>
      <c r="T135" s="5">
        <v>2614.0</v>
      </c>
      <c r="U135" s="5">
        <v>497324.0</v>
      </c>
      <c r="V135" s="5">
        <v>65510.0</v>
      </c>
      <c r="W135" s="5">
        <v>67922.0</v>
      </c>
      <c r="X135" s="5">
        <v>65435.0</v>
      </c>
      <c r="Y135" s="5">
        <v>60216.0</v>
      </c>
      <c r="Z135" s="5">
        <v>49391.0</v>
      </c>
      <c r="AA135" s="5">
        <v>40605.0</v>
      </c>
      <c r="AB135" s="5">
        <v>30962.0</v>
      </c>
      <c r="AC135" s="5">
        <v>28277.0</v>
      </c>
      <c r="AD135" s="5">
        <v>25426.0</v>
      </c>
      <c r="AE135" s="5">
        <v>21680.0</v>
      </c>
      <c r="AF135" s="5">
        <v>15343.0</v>
      </c>
      <c r="AG135" s="5">
        <v>9737.0</v>
      </c>
      <c r="AH135" s="5">
        <v>6958.0</v>
      </c>
      <c r="AI135" s="5">
        <v>4583.0</v>
      </c>
      <c r="AJ135" s="5">
        <v>2806.0</v>
      </c>
      <c r="AK135" s="5">
        <v>1293.0</v>
      </c>
      <c r="AL135" s="5">
        <v>1180.0</v>
      </c>
      <c r="AM135" s="5">
        <v>502784.0</v>
      </c>
      <c r="AN135" s="5">
        <v>64925.0</v>
      </c>
      <c r="AO135" s="5">
        <v>67477.0</v>
      </c>
      <c r="AP135" s="5">
        <v>65094.0</v>
      </c>
      <c r="AQ135" s="5">
        <v>61929.0</v>
      </c>
      <c r="AR135" s="5">
        <v>51662.0</v>
      </c>
      <c r="AS135" s="5">
        <v>44167.0</v>
      </c>
      <c r="AT135" s="5">
        <v>32192.0</v>
      </c>
      <c r="AU135" s="5">
        <v>30314.0</v>
      </c>
      <c r="AV135" s="5">
        <v>25278.0</v>
      </c>
      <c r="AW135" s="5">
        <v>21057.0</v>
      </c>
      <c r="AX135" s="5">
        <v>13332.0</v>
      </c>
      <c r="AY135" s="5">
        <v>9022.0</v>
      </c>
      <c r="AZ135" s="5">
        <v>6093.0</v>
      </c>
      <c r="BA135" s="5">
        <v>4710.0</v>
      </c>
      <c r="BB135" s="5">
        <v>2664.0</v>
      </c>
      <c r="BC135" s="5">
        <v>1434.0</v>
      </c>
      <c r="BD135" s="5">
        <v>1434.0</v>
      </c>
      <c r="BE135" s="4"/>
      <c r="BF135" s="4"/>
      <c r="BG135" s="4"/>
      <c r="BH135" s="4"/>
      <c r="BI135" s="4"/>
      <c r="BJ135" s="4"/>
    </row>
    <row r="136">
      <c r="A136" s="5"/>
      <c r="B136" s="5" t="s">
        <v>227</v>
      </c>
      <c r="C136" s="5">
        <v>440276.0</v>
      </c>
      <c r="D136" s="5">
        <v>69224.0</v>
      </c>
      <c r="E136" s="5">
        <v>57828.0</v>
      </c>
      <c r="F136" s="5">
        <v>51323.0</v>
      </c>
      <c r="G136" s="5">
        <v>46128.0</v>
      </c>
      <c r="H136" s="5">
        <v>39353.0</v>
      </c>
      <c r="I136" s="5">
        <v>36465.0</v>
      </c>
      <c r="J136" s="5">
        <v>30416.0</v>
      </c>
      <c r="K136" s="5">
        <v>27987.0</v>
      </c>
      <c r="L136" s="5">
        <v>23805.0</v>
      </c>
      <c r="M136" s="5">
        <v>19429.0</v>
      </c>
      <c r="N136" s="5">
        <v>13261.0</v>
      </c>
      <c r="O136" s="5">
        <v>8911.0</v>
      </c>
      <c r="P136" s="5">
        <v>6334.0</v>
      </c>
      <c r="Q136" s="5">
        <v>4799.0</v>
      </c>
      <c r="R136" s="5">
        <v>2629.0</v>
      </c>
      <c r="S136" s="5">
        <v>1325.0</v>
      </c>
      <c r="T136" s="5">
        <v>1059.0</v>
      </c>
      <c r="U136" s="5">
        <v>222897.0</v>
      </c>
      <c r="V136" s="5">
        <v>35675.0</v>
      </c>
      <c r="W136" s="5">
        <v>29324.0</v>
      </c>
      <c r="X136" s="5">
        <v>25820.0</v>
      </c>
      <c r="Y136" s="5">
        <v>23171.0</v>
      </c>
      <c r="Z136" s="5">
        <v>19707.0</v>
      </c>
      <c r="AA136" s="5">
        <v>17582.0</v>
      </c>
      <c r="AB136" s="5">
        <v>15013.0</v>
      </c>
      <c r="AC136" s="5">
        <v>13653.0</v>
      </c>
      <c r="AD136" s="5">
        <v>12084.0</v>
      </c>
      <c r="AE136" s="5">
        <v>10167.0</v>
      </c>
      <c r="AF136" s="5">
        <v>7301.0</v>
      </c>
      <c r="AG136" s="5">
        <v>4834.0</v>
      </c>
      <c r="AH136" s="5">
        <v>3420.0</v>
      </c>
      <c r="AI136" s="5">
        <v>2582.0</v>
      </c>
      <c r="AJ136" s="5">
        <v>1396.0</v>
      </c>
      <c r="AK136" s="5">
        <v>689.0</v>
      </c>
      <c r="AL136" s="5">
        <v>479.0</v>
      </c>
      <c r="AM136" s="5">
        <v>217379.0</v>
      </c>
      <c r="AN136" s="5">
        <v>33549.0</v>
      </c>
      <c r="AO136" s="5">
        <v>28504.0</v>
      </c>
      <c r="AP136" s="5">
        <v>25503.0</v>
      </c>
      <c r="AQ136" s="5">
        <v>22957.0</v>
      </c>
      <c r="AR136" s="5">
        <v>19646.0</v>
      </c>
      <c r="AS136" s="5">
        <v>18883.0</v>
      </c>
      <c r="AT136" s="5">
        <v>15403.0</v>
      </c>
      <c r="AU136" s="5">
        <v>14334.0</v>
      </c>
      <c r="AV136" s="5">
        <v>11721.0</v>
      </c>
      <c r="AW136" s="5">
        <v>9262.0</v>
      </c>
      <c r="AX136" s="5">
        <v>5960.0</v>
      </c>
      <c r="AY136" s="5">
        <v>4077.0</v>
      </c>
      <c r="AZ136" s="5">
        <v>2914.0</v>
      </c>
      <c r="BA136" s="5">
        <v>2217.0</v>
      </c>
      <c r="BB136" s="5">
        <v>1233.0</v>
      </c>
      <c r="BC136" s="5">
        <v>636.0</v>
      </c>
      <c r="BD136" s="5">
        <v>580.0</v>
      </c>
      <c r="BE136" s="4"/>
      <c r="BF136" s="4"/>
      <c r="BG136" s="4"/>
      <c r="BH136" s="4"/>
      <c r="BI136" s="4"/>
      <c r="BJ136" s="4"/>
    </row>
    <row r="137">
      <c r="A137" s="5"/>
      <c r="B137" s="5" t="s">
        <v>228</v>
      </c>
      <c r="C137" s="5">
        <v>215433.0</v>
      </c>
      <c r="D137" s="5">
        <v>32866.0</v>
      </c>
      <c r="E137" s="5">
        <v>27225.0</v>
      </c>
      <c r="F137" s="5">
        <v>24200.0</v>
      </c>
      <c r="G137" s="5">
        <v>22935.0</v>
      </c>
      <c r="H137" s="5">
        <v>22539.0</v>
      </c>
      <c r="I137" s="5">
        <v>19514.0</v>
      </c>
      <c r="J137" s="5">
        <v>14995.0</v>
      </c>
      <c r="K137" s="5">
        <v>12190.0</v>
      </c>
      <c r="L137" s="5">
        <v>10226.0</v>
      </c>
      <c r="M137" s="5">
        <v>8124.0</v>
      </c>
      <c r="N137" s="5">
        <v>6161.0</v>
      </c>
      <c r="O137" s="5">
        <v>3980.0</v>
      </c>
      <c r="P137" s="5">
        <v>3543.0</v>
      </c>
      <c r="Q137" s="5">
        <v>2830.0</v>
      </c>
      <c r="R137" s="5">
        <v>1866.0</v>
      </c>
      <c r="S137" s="5">
        <v>1086.0</v>
      </c>
      <c r="T137" s="5">
        <v>1153.0</v>
      </c>
      <c r="U137" s="5">
        <v>108778.0</v>
      </c>
      <c r="V137" s="5">
        <v>16881.0</v>
      </c>
      <c r="W137" s="5">
        <v>13952.0</v>
      </c>
      <c r="X137" s="5">
        <v>12468.0</v>
      </c>
      <c r="Y137" s="5">
        <v>11372.0</v>
      </c>
      <c r="Z137" s="5">
        <v>11169.0</v>
      </c>
      <c r="AA137" s="5">
        <v>9781.0</v>
      </c>
      <c r="AB137" s="5">
        <v>7535.0</v>
      </c>
      <c r="AC137" s="5">
        <v>6020.0</v>
      </c>
      <c r="AD137" s="5">
        <v>5157.0</v>
      </c>
      <c r="AE137" s="5">
        <v>4102.0</v>
      </c>
      <c r="AF137" s="5">
        <v>3231.0</v>
      </c>
      <c r="AG137" s="5">
        <v>2124.0</v>
      </c>
      <c r="AH137" s="5">
        <v>1726.0</v>
      </c>
      <c r="AI137" s="5">
        <v>1348.0</v>
      </c>
      <c r="AJ137" s="5">
        <v>900.0</v>
      </c>
      <c r="AK137" s="5">
        <v>508.0</v>
      </c>
      <c r="AL137" s="5">
        <v>504.0</v>
      </c>
      <c r="AM137" s="5">
        <v>106655.0</v>
      </c>
      <c r="AN137" s="5">
        <v>15985.0</v>
      </c>
      <c r="AO137" s="5">
        <v>13273.0</v>
      </c>
      <c r="AP137" s="5">
        <v>11732.0</v>
      </c>
      <c r="AQ137" s="5">
        <v>11563.0</v>
      </c>
      <c r="AR137" s="5">
        <v>11370.0</v>
      </c>
      <c r="AS137" s="5">
        <v>9733.0</v>
      </c>
      <c r="AT137" s="5">
        <v>7460.0</v>
      </c>
      <c r="AU137" s="5">
        <v>6170.0</v>
      </c>
      <c r="AV137" s="5">
        <v>5069.0</v>
      </c>
      <c r="AW137" s="5">
        <v>4022.0</v>
      </c>
      <c r="AX137" s="5">
        <v>2930.0</v>
      </c>
      <c r="AY137" s="5">
        <v>1856.0</v>
      </c>
      <c r="AZ137" s="5">
        <v>1817.0</v>
      </c>
      <c r="BA137" s="5">
        <v>1482.0</v>
      </c>
      <c r="BB137" s="5">
        <v>966.0</v>
      </c>
      <c r="BC137" s="5">
        <v>578.0</v>
      </c>
      <c r="BD137" s="5">
        <v>649.0</v>
      </c>
      <c r="BE137" s="4"/>
      <c r="BF137" s="4"/>
      <c r="BG137" s="4"/>
      <c r="BH137" s="4"/>
      <c r="BI137" s="4"/>
      <c r="BJ137" s="4"/>
    </row>
    <row r="138">
      <c r="A138" s="5" t="s">
        <v>229</v>
      </c>
      <c r="B138" s="5" t="s">
        <v>94</v>
      </c>
      <c r="C138" s="5">
        <v>1.08667043E8</v>
      </c>
      <c r="D138" s="5">
        <v>1.1066707E7</v>
      </c>
      <c r="E138" s="5">
        <v>1.1266823E7</v>
      </c>
      <c r="F138" s="5">
        <v>1.1080715E7</v>
      </c>
      <c r="G138" s="5">
        <v>1.0459186E7</v>
      </c>
      <c r="H138" s="5">
        <v>9969846.0</v>
      </c>
      <c r="I138" s="5">
        <v>9172896.0</v>
      </c>
      <c r="J138" s="5">
        <v>8120568.0</v>
      </c>
      <c r="K138" s="5">
        <v>7179320.0</v>
      </c>
      <c r="L138" s="5">
        <v>6491312.0</v>
      </c>
      <c r="M138" s="5">
        <v>5571168.0</v>
      </c>
      <c r="N138" s="5">
        <v>4941712.0</v>
      </c>
      <c r="O138" s="5">
        <v>4124118.0</v>
      </c>
      <c r="P138" s="5">
        <v>3367223.0</v>
      </c>
      <c r="Q138" s="5">
        <v>2393521.0</v>
      </c>
      <c r="R138" s="5">
        <v>1575398.0</v>
      </c>
      <c r="S138" s="5">
        <v>930610.0</v>
      </c>
      <c r="T138" s="5">
        <v>955920.0</v>
      </c>
      <c r="U138" s="5">
        <v>5.5017643E7</v>
      </c>
      <c r="V138" s="5">
        <v>5712817.0</v>
      </c>
      <c r="W138" s="5">
        <v>5840155.0</v>
      </c>
      <c r="X138" s="5">
        <v>5716464.0</v>
      </c>
      <c r="Y138" s="5">
        <v>5344532.0</v>
      </c>
      <c r="Z138" s="5">
        <v>5073881.0</v>
      </c>
      <c r="AA138" s="5">
        <v>4669488.0</v>
      </c>
      <c r="AB138" s="5">
        <v>4175658.0</v>
      </c>
      <c r="AC138" s="5">
        <v>3676838.0</v>
      </c>
      <c r="AD138" s="5">
        <v>3326411.0</v>
      </c>
      <c r="AE138" s="5">
        <v>2843263.0</v>
      </c>
      <c r="AF138" s="5">
        <v>2486661.0</v>
      </c>
      <c r="AG138" s="5">
        <v>2048881.0</v>
      </c>
      <c r="AH138" s="5">
        <v>1627460.0</v>
      </c>
      <c r="AI138" s="5">
        <v>1111215.0</v>
      </c>
      <c r="AJ138" s="5">
        <v>682312.0</v>
      </c>
      <c r="AK138" s="5">
        <v>365443.0</v>
      </c>
      <c r="AL138" s="5">
        <v>316164.0</v>
      </c>
      <c r="AM138" s="5">
        <v>5.36494E7</v>
      </c>
      <c r="AN138" s="5">
        <v>5353890.0</v>
      </c>
      <c r="AO138" s="5">
        <v>5426668.0</v>
      </c>
      <c r="AP138" s="5">
        <v>5364251.0</v>
      </c>
      <c r="AQ138" s="5">
        <v>5114654.0</v>
      </c>
      <c r="AR138" s="5">
        <v>4895965.0</v>
      </c>
      <c r="AS138" s="5">
        <v>4503408.0</v>
      </c>
      <c r="AT138" s="5">
        <v>3944910.0</v>
      </c>
      <c r="AU138" s="5">
        <v>3502482.0</v>
      </c>
      <c r="AV138" s="5">
        <v>3164901.0</v>
      </c>
      <c r="AW138" s="5">
        <v>2727905.0</v>
      </c>
      <c r="AX138" s="5">
        <v>2455051.0</v>
      </c>
      <c r="AY138" s="5">
        <v>2075237.0</v>
      </c>
      <c r="AZ138" s="5">
        <v>1739763.0</v>
      </c>
      <c r="BA138" s="5">
        <v>1282306.0</v>
      </c>
      <c r="BB138" s="5">
        <v>893086.0</v>
      </c>
      <c r="BC138" s="5">
        <v>565167.0</v>
      </c>
      <c r="BD138" s="5">
        <v>639756.0</v>
      </c>
      <c r="BE138" s="4"/>
      <c r="BF138" s="4"/>
      <c r="BG138" s="4"/>
      <c r="BH138" s="4"/>
      <c r="BI138" s="4"/>
      <c r="BJ138" s="4"/>
    </row>
    <row r="139">
      <c r="A139" s="5"/>
      <c r="B139" s="5" t="s">
        <v>95</v>
      </c>
      <c r="C139" s="5">
        <v>1.3403551E7</v>
      </c>
      <c r="D139" s="5">
        <v>1279455.0</v>
      </c>
      <c r="E139" s="5">
        <v>1237358.0</v>
      </c>
      <c r="F139" s="5">
        <v>1176552.0</v>
      </c>
      <c r="G139" s="5">
        <v>1116332.0</v>
      </c>
      <c r="H139" s="5">
        <v>1275404.0</v>
      </c>
      <c r="I139" s="5">
        <v>1288164.0</v>
      </c>
      <c r="J139" s="5">
        <v>1163432.0</v>
      </c>
      <c r="K139" s="5">
        <v>1007583.0</v>
      </c>
      <c r="L139" s="5">
        <v>885774.0</v>
      </c>
      <c r="M139" s="5">
        <v>741559.0</v>
      </c>
      <c r="N139" s="5">
        <v>648401.0</v>
      </c>
      <c r="O139" s="5">
        <v>527921.0</v>
      </c>
      <c r="P139" s="5">
        <v>421094.0</v>
      </c>
      <c r="Q139" s="5">
        <v>279636.0</v>
      </c>
      <c r="R139" s="5">
        <v>176093.0</v>
      </c>
      <c r="S139" s="5">
        <v>88354.0</v>
      </c>
      <c r="T139" s="5">
        <v>90439.0</v>
      </c>
      <c r="U139" s="5">
        <v>6674239.0</v>
      </c>
      <c r="V139" s="5">
        <v>660748.0</v>
      </c>
      <c r="W139" s="5">
        <v>641557.0</v>
      </c>
      <c r="X139" s="5">
        <v>608186.0</v>
      </c>
      <c r="Y139" s="5">
        <v>566962.0</v>
      </c>
      <c r="Z139" s="5">
        <v>638921.0</v>
      </c>
      <c r="AA139" s="5">
        <v>648797.0</v>
      </c>
      <c r="AB139" s="5">
        <v>593552.0</v>
      </c>
      <c r="AC139" s="5">
        <v>506933.0</v>
      </c>
      <c r="AD139" s="5">
        <v>441278.0</v>
      </c>
      <c r="AE139" s="5">
        <v>365802.0</v>
      </c>
      <c r="AF139" s="5">
        <v>312085.0</v>
      </c>
      <c r="AG139" s="5">
        <v>247287.0</v>
      </c>
      <c r="AH139" s="5">
        <v>191240.0</v>
      </c>
      <c r="AI139" s="5">
        <v>121505.0</v>
      </c>
      <c r="AJ139" s="5">
        <v>71391.0</v>
      </c>
      <c r="AK139" s="5">
        <v>31616.0</v>
      </c>
      <c r="AL139" s="5">
        <v>26379.0</v>
      </c>
      <c r="AM139" s="5">
        <v>6729312.0</v>
      </c>
      <c r="AN139" s="5">
        <v>618707.0</v>
      </c>
      <c r="AO139" s="5">
        <v>595801.0</v>
      </c>
      <c r="AP139" s="5">
        <v>568366.0</v>
      </c>
      <c r="AQ139" s="5">
        <v>549370.0</v>
      </c>
      <c r="AR139" s="5">
        <v>636483.0</v>
      </c>
      <c r="AS139" s="5">
        <v>639367.0</v>
      </c>
      <c r="AT139" s="5">
        <v>569880.0</v>
      </c>
      <c r="AU139" s="5">
        <v>500650.0</v>
      </c>
      <c r="AV139" s="5">
        <v>444496.0</v>
      </c>
      <c r="AW139" s="5">
        <v>375757.0</v>
      </c>
      <c r="AX139" s="5">
        <v>336316.0</v>
      </c>
      <c r="AY139" s="5">
        <v>280634.0</v>
      </c>
      <c r="AZ139" s="5">
        <v>229854.0</v>
      </c>
      <c r="BA139" s="5">
        <v>158131.0</v>
      </c>
      <c r="BB139" s="5">
        <v>104702.0</v>
      </c>
      <c r="BC139" s="5">
        <v>56738.0</v>
      </c>
      <c r="BD139" s="5">
        <v>64060.0</v>
      </c>
      <c r="BE139" s="4"/>
      <c r="BF139" s="4"/>
      <c r="BG139" s="4"/>
      <c r="BH139" s="4"/>
      <c r="BI139" s="4"/>
      <c r="BJ139" s="4"/>
    </row>
    <row r="140">
      <c r="A140" s="5"/>
      <c r="B140" s="5" t="s">
        <v>96</v>
      </c>
      <c r="C140" s="5">
        <v>1837785.0</v>
      </c>
      <c r="D140" s="5">
        <v>169197.0</v>
      </c>
      <c r="E140" s="5">
        <v>166219.0</v>
      </c>
      <c r="F140" s="5">
        <v>158492.0</v>
      </c>
      <c r="G140" s="5">
        <v>157479.0</v>
      </c>
      <c r="H140" s="5">
        <v>179543.0</v>
      </c>
      <c r="I140" s="5">
        <v>177304.0</v>
      </c>
      <c r="J140" s="5">
        <v>154671.0</v>
      </c>
      <c r="K140" s="5">
        <v>132764.0</v>
      </c>
      <c r="L140" s="5">
        <v>118295.0</v>
      </c>
      <c r="M140" s="5">
        <v>101184.0</v>
      </c>
      <c r="N140" s="5">
        <v>92142.0</v>
      </c>
      <c r="O140" s="5">
        <v>75686.0</v>
      </c>
      <c r="P140" s="5">
        <v>60909.0</v>
      </c>
      <c r="Q140" s="5">
        <v>40744.0</v>
      </c>
      <c r="R140" s="5">
        <v>26745.0</v>
      </c>
      <c r="S140" s="5">
        <v>12888.0</v>
      </c>
      <c r="T140" s="5">
        <v>13523.0</v>
      </c>
      <c r="U140" s="5">
        <v>912803.0</v>
      </c>
      <c r="V140" s="5">
        <v>87379.0</v>
      </c>
      <c r="W140" s="5">
        <v>86176.0</v>
      </c>
      <c r="X140" s="5">
        <v>81613.0</v>
      </c>
      <c r="Y140" s="5">
        <v>79738.0</v>
      </c>
      <c r="Z140" s="5">
        <v>89862.0</v>
      </c>
      <c r="AA140" s="5">
        <v>89314.0</v>
      </c>
      <c r="AB140" s="5">
        <v>79429.0</v>
      </c>
      <c r="AC140" s="5">
        <v>67126.0</v>
      </c>
      <c r="AD140" s="5">
        <v>59096.0</v>
      </c>
      <c r="AE140" s="5">
        <v>50085.0</v>
      </c>
      <c r="AF140" s="5">
        <v>44256.0</v>
      </c>
      <c r="AG140" s="5">
        <v>35414.0</v>
      </c>
      <c r="AH140" s="5">
        <v>27409.0</v>
      </c>
      <c r="AI140" s="5">
        <v>17420.0</v>
      </c>
      <c r="AJ140" s="5">
        <v>10541.0</v>
      </c>
      <c r="AK140" s="5">
        <v>4440.0</v>
      </c>
      <c r="AL140" s="5">
        <v>3505.0</v>
      </c>
      <c r="AM140" s="5">
        <v>924982.0</v>
      </c>
      <c r="AN140" s="5">
        <v>81818.0</v>
      </c>
      <c r="AO140" s="5">
        <v>80043.0</v>
      </c>
      <c r="AP140" s="5">
        <v>76879.0</v>
      </c>
      <c r="AQ140" s="5">
        <v>77741.0</v>
      </c>
      <c r="AR140" s="5">
        <v>89681.0</v>
      </c>
      <c r="AS140" s="5">
        <v>87990.0</v>
      </c>
      <c r="AT140" s="5">
        <v>75242.0</v>
      </c>
      <c r="AU140" s="5">
        <v>65638.0</v>
      </c>
      <c r="AV140" s="5">
        <v>59199.0</v>
      </c>
      <c r="AW140" s="5">
        <v>51099.0</v>
      </c>
      <c r="AX140" s="5">
        <v>47886.0</v>
      </c>
      <c r="AY140" s="5">
        <v>40272.0</v>
      </c>
      <c r="AZ140" s="5">
        <v>33500.0</v>
      </c>
      <c r="BA140" s="5">
        <v>23324.0</v>
      </c>
      <c r="BB140" s="5">
        <v>16204.0</v>
      </c>
      <c r="BC140" s="5">
        <v>8448.0</v>
      </c>
      <c r="BD140" s="5">
        <v>10018.0</v>
      </c>
      <c r="BE140" s="4"/>
      <c r="BF140" s="4"/>
      <c r="BG140" s="4"/>
      <c r="BH140" s="4"/>
      <c r="BI140" s="4"/>
      <c r="BJ140" s="4"/>
    </row>
    <row r="141">
      <c r="A141" s="5"/>
      <c r="B141" s="5" t="s">
        <v>97</v>
      </c>
      <c r="C141" s="5">
        <v>419333.0</v>
      </c>
      <c r="D141" s="5">
        <v>38658.0</v>
      </c>
      <c r="E141" s="5">
        <v>36691.0</v>
      </c>
      <c r="F141" s="5">
        <v>34543.0</v>
      </c>
      <c r="G141" s="5">
        <v>31431.0</v>
      </c>
      <c r="H141" s="5">
        <v>43497.0</v>
      </c>
      <c r="I141" s="5">
        <v>45661.0</v>
      </c>
      <c r="J141" s="5">
        <v>38642.0</v>
      </c>
      <c r="K141" s="5">
        <v>32157.0</v>
      </c>
      <c r="L141" s="5">
        <v>27448.0</v>
      </c>
      <c r="M141" s="5">
        <v>22870.0</v>
      </c>
      <c r="N141" s="5">
        <v>19479.0</v>
      </c>
      <c r="O141" s="5">
        <v>15805.0</v>
      </c>
      <c r="P141" s="5">
        <v>12554.0</v>
      </c>
      <c r="Q141" s="5">
        <v>8507.0</v>
      </c>
      <c r="R141" s="5">
        <v>5673.0</v>
      </c>
      <c r="S141" s="5">
        <v>2900.0</v>
      </c>
      <c r="T141" s="5">
        <v>2817.0</v>
      </c>
      <c r="U141" s="5">
        <v>206818.0</v>
      </c>
      <c r="V141" s="5">
        <v>19973.0</v>
      </c>
      <c r="W141" s="5">
        <v>18719.0</v>
      </c>
      <c r="X141" s="5">
        <v>17746.0</v>
      </c>
      <c r="Y141" s="5">
        <v>15825.0</v>
      </c>
      <c r="Z141" s="5">
        <v>21507.0</v>
      </c>
      <c r="AA141" s="5">
        <v>22894.0</v>
      </c>
      <c r="AB141" s="5">
        <v>19568.0</v>
      </c>
      <c r="AC141" s="5">
        <v>16066.0</v>
      </c>
      <c r="AD141" s="5">
        <v>13780.0</v>
      </c>
      <c r="AE141" s="5">
        <v>11296.0</v>
      </c>
      <c r="AF141" s="5">
        <v>9384.0</v>
      </c>
      <c r="AG141" s="5">
        <v>7165.0</v>
      </c>
      <c r="AH141" s="5">
        <v>5477.0</v>
      </c>
      <c r="AI141" s="5">
        <v>3546.0</v>
      </c>
      <c r="AJ141" s="5">
        <v>2147.0</v>
      </c>
      <c r="AK141" s="5">
        <v>989.0</v>
      </c>
      <c r="AL141" s="5">
        <v>736.0</v>
      </c>
      <c r="AM141" s="5">
        <v>212515.0</v>
      </c>
      <c r="AN141" s="5">
        <v>18685.0</v>
      </c>
      <c r="AO141" s="5">
        <v>17972.0</v>
      </c>
      <c r="AP141" s="5">
        <v>16797.0</v>
      </c>
      <c r="AQ141" s="5">
        <v>15606.0</v>
      </c>
      <c r="AR141" s="5">
        <v>21990.0</v>
      </c>
      <c r="AS141" s="5">
        <v>22767.0</v>
      </c>
      <c r="AT141" s="5">
        <v>19074.0</v>
      </c>
      <c r="AU141" s="5">
        <v>16091.0</v>
      </c>
      <c r="AV141" s="5">
        <v>13668.0</v>
      </c>
      <c r="AW141" s="5">
        <v>11574.0</v>
      </c>
      <c r="AX141" s="5">
        <v>10095.0</v>
      </c>
      <c r="AY141" s="5">
        <v>8640.0</v>
      </c>
      <c r="AZ141" s="5">
        <v>7077.0</v>
      </c>
      <c r="BA141" s="5">
        <v>4961.0</v>
      </c>
      <c r="BB141" s="5">
        <v>3526.0</v>
      </c>
      <c r="BC141" s="5">
        <v>1911.0</v>
      </c>
      <c r="BD141" s="5">
        <v>2081.0</v>
      </c>
      <c r="BE141" s="4"/>
      <c r="BF141" s="4"/>
      <c r="BG141" s="4"/>
      <c r="BH141" s="4"/>
      <c r="BI141" s="4"/>
      <c r="BJ141" s="4"/>
    </row>
    <row r="142">
      <c r="A142" s="5"/>
      <c r="B142" s="5" t="s">
        <v>98</v>
      </c>
      <c r="C142" s="5">
        <v>452961.0</v>
      </c>
      <c r="D142" s="5">
        <v>42157.0</v>
      </c>
      <c r="E142" s="5">
        <v>42273.0</v>
      </c>
      <c r="F142" s="5">
        <v>41145.0</v>
      </c>
      <c r="G142" s="5">
        <v>38225.0</v>
      </c>
      <c r="H142" s="5">
        <v>40551.0</v>
      </c>
      <c r="I142" s="5">
        <v>40231.0</v>
      </c>
      <c r="J142" s="5">
        <v>36153.0</v>
      </c>
      <c r="K142" s="5">
        <v>32099.0</v>
      </c>
      <c r="L142" s="5">
        <v>29570.0</v>
      </c>
      <c r="M142" s="5">
        <v>26155.0</v>
      </c>
      <c r="N142" s="5">
        <v>23282.0</v>
      </c>
      <c r="O142" s="5">
        <v>19083.0</v>
      </c>
      <c r="P142" s="5">
        <v>15700.0</v>
      </c>
      <c r="Q142" s="5">
        <v>11067.0</v>
      </c>
      <c r="R142" s="5">
        <v>7303.0</v>
      </c>
      <c r="S142" s="5">
        <v>3713.0</v>
      </c>
      <c r="T142" s="5">
        <v>4254.0</v>
      </c>
      <c r="U142" s="5">
        <v>224014.0</v>
      </c>
      <c r="V142" s="5">
        <v>21804.0</v>
      </c>
      <c r="W142" s="5">
        <v>21899.0</v>
      </c>
      <c r="X142" s="5">
        <v>21415.0</v>
      </c>
      <c r="Y142" s="5">
        <v>19465.0</v>
      </c>
      <c r="Z142" s="5">
        <v>20378.0</v>
      </c>
      <c r="AA142" s="5">
        <v>19981.0</v>
      </c>
      <c r="AB142" s="5">
        <v>18311.0</v>
      </c>
      <c r="AC142" s="5">
        <v>15793.0</v>
      </c>
      <c r="AD142" s="5">
        <v>14582.0</v>
      </c>
      <c r="AE142" s="5">
        <v>12560.0</v>
      </c>
      <c r="AF142" s="5">
        <v>11161.0</v>
      </c>
      <c r="AG142" s="5">
        <v>9008.0</v>
      </c>
      <c r="AH142" s="5">
        <v>7220.0</v>
      </c>
      <c r="AI142" s="5">
        <v>4768.0</v>
      </c>
      <c r="AJ142" s="5">
        <v>2969.0</v>
      </c>
      <c r="AK142" s="5">
        <v>1324.0</v>
      </c>
      <c r="AL142" s="5">
        <v>1376.0</v>
      </c>
      <c r="AM142" s="5">
        <v>228947.0</v>
      </c>
      <c r="AN142" s="5">
        <v>20353.0</v>
      </c>
      <c r="AO142" s="5">
        <v>20374.0</v>
      </c>
      <c r="AP142" s="5">
        <v>19730.0</v>
      </c>
      <c r="AQ142" s="5">
        <v>18760.0</v>
      </c>
      <c r="AR142" s="5">
        <v>20173.0</v>
      </c>
      <c r="AS142" s="5">
        <v>20250.0</v>
      </c>
      <c r="AT142" s="5">
        <v>17842.0</v>
      </c>
      <c r="AU142" s="5">
        <v>16306.0</v>
      </c>
      <c r="AV142" s="5">
        <v>14988.0</v>
      </c>
      <c r="AW142" s="5">
        <v>13595.0</v>
      </c>
      <c r="AX142" s="5">
        <v>12121.0</v>
      </c>
      <c r="AY142" s="5">
        <v>10075.0</v>
      </c>
      <c r="AZ142" s="5">
        <v>8480.0</v>
      </c>
      <c r="BA142" s="5">
        <v>6299.0</v>
      </c>
      <c r="BB142" s="5">
        <v>4334.0</v>
      </c>
      <c r="BC142" s="5">
        <v>2389.0</v>
      </c>
      <c r="BD142" s="5">
        <v>2878.0</v>
      </c>
      <c r="BE142" s="4"/>
      <c r="BF142" s="4"/>
      <c r="BG142" s="4"/>
      <c r="BH142" s="4"/>
      <c r="BI142" s="4"/>
      <c r="BJ142" s="4"/>
    </row>
    <row r="143">
      <c r="A143" s="5"/>
      <c r="B143" s="5" t="s">
        <v>99</v>
      </c>
      <c r="C143" s="5">
        <v>801439.0</v>
      </c>
      <c r="D143" s="5">
        <v>81142.0</v>
      </c>
      <c r="E143" s="5">
        <v>78013.0</v>
      </c>
      <c r="F143" s="5">
        <v>71008.0</v>
      </c>
      <c r="G143" s="5">
        <v>65599.0</v>
      </c>
      <c r="H143" s="5">
        <v>71983.0</v>
      </c>
      <c r="I143" s="5">
        <v>76433.0</v>
      </c>
      <c r="J143" s="5">
        <v>71548.0</v>
      </c>
      <c r="K143" s="5">
        <v>62271.0</v>
      </c>
      <c r="L143" s="5">
        <v>53920.0</v>
      </c>
      <c r="M143" s="5">
        <v>43827.0</v>
      </c>
      <c r="N143" s="5">
        <v>36904.0</v>
      </c>
      <c r="O143" s="5">
        <v>29210.0</v>
      </c>
      <c r="P143" s="5">
        <v>23382.0</v>
      </c>
      <c r="Q143" s="5">
        <v>15952.0</v>
      </c>
      <c r="R143" s="5">
        <v>10218.0</v>
      </c>
      <c r="S143" s="5">
        <v>5029.0</v>
      </c>
      <c r="T143" s="5">
        <v>5000.0</v>
      </c>
      <c r="U143" s="5">
        <v>397387.0</v>
      </c>
      <c r="V143" s="5">
        <v>41770.0</v>
      </c>
      <c r="W143" s="5">
        <v>40399.0</v>
      </c>
      <c r="X143" s="5">
        <v>36887.0</v>
      </c>
      <c r="Y143" s="5">
        <v>33210.0</v>
      </c>
      <c r="Z143" s="5">
        <v>35711.0</v>
      </c>
      <c r="AA143" s="5">
        <v>37907.0</v>
      </c>
      <c r="AB143" s="5">
        <v>36103.0</v>
      </c>
      <c r="AC143" s="5">
        <v>31334.0</v>
      </c>
      <c r="AD143" s="5">
        <v>26727.0</v>
      </c>
      <c r="AE143" s="5">
        <v>21545.0</v>
      </c>
      <c r="AF143" s="5">
        <v>17673.0</v>
      </c>
      <c r="AG143" s="5">
        <v>13572.0</v>
      </c>
      <c r="AH143" s="5">
        <v>10332.0</v>
      </c>
      <c r="AI143" s="5">
        <v>6667.0</v>
      </c>
      <c r="AJ143" s="5">
        <v>4242.0</v>
      </c>
      <c r="AK143" s="5">
        <v>1774.0</v>
      </c>
      <c r="AL143" s="5">
        <v>1534.0</v>
      </c>
      <c r="AM143" s="5">
        <v>404052.0</v>
      </c>
      <c r="AN143" s="5">
        <v>39372.0</v>
      </c>
      <c r="AO143" s="5">
        <v>37614.0</v>
      </c>
      <c r="AP143" s="5">
        <v>34121.0</v>
      </c>
      <c r="AQ143" s="5">
        <v>32389.0</v>
      </c>
      <c r="AR143" s="5">
        <v>36272.0</v>
      </c>
      <c r="AS143" s="5">
        <v>38526.0</v>
      </c>
      <c r="AT143" s="5">
        <v>35445.0</v>
      </c>
      <c r="AU143" s="5">
        <v>30937.0</v>
      </c>
      <c r="AV143" s="5">
        <v>27193.0</v>
      </c>
      <c r="AW143" s="5">
        <v>22282.0</v>
      </c>
      <c r="AX143" s="5">
        <v>19231.0</v>
      </c>
      <c r="AY143" s="5">
        <v>15638.0</v>
      </c>
      <c r="AZ143" s="5">
        <v>13050.0</v>
      </c>
      <c r="BA143" s="5">
        <v>9285.0</v>
      </c>
      <c r="BB143" s="5">
        <v>5976.0</v>
      </c>
      <c r="BC143" s="5">
        <v>3255.0</v>
      </c>
      <c r="BD143" s="5">
        <v>3466.0</v>
      </c>
      <c r="BE143" s="4"/>
      <c r="BF143" s="4"/>
      <c r="BG143" s="4"/>
      <c r="BH143" s="4"/>
      <c r="BI143" s="4"/>
      <c r="BJ143" s="4"/>
    </row>
    <row r="144">
      <c r="A144" s="5"/>
      <c r="B144" s="5" t="s">
        <v>100</v>
      </c>
      <c r="C144" s="5">
        <v>2950493.0</v>
      </c>
      <c r="D144" s="5">
        <v>291124.0</v>
      </c>
      <c r="E144" s="5">
        <v>276416.0</v>
      </c>
      <c r="F144" s="5">
        <v>258418.0</v>
      </c>
      <c r="G144" s="5">
        <v>241493.0</v>
      </c>
      <c r="H144" s="5">
        <v>274038.0</v>
      </c>
      <c r="I144" s="5">
        <v>276410.0</v>
      </c>
      <c r="J144" s="5">
        <v>252021.0</v>
      </c>
      <c r="K144" s="5">
        <v>219307.0</v>
      </c>
      <c r="L144" s="5">
        <v>195077.0</v>
      </c>
      <c r="M144" s="5">
        <v>165706.0</v>
      </c>
      <c r="N144" s="5">
        <v>146235.0</v>
      </c>
      <c r="O144" s="5">
        <v>119573.0</v>
      </c>
      <c r="P144" s="5">
        <v>94313.0</v>
      </c>
      <c r="Q144" s="5">
        <v>61459.0</v>
      </c>
      <c r="R144" s="5">
        <v>37828.0</v>
      </c>
      <c r="S144" s="5">
        <v>19784.0</v>
      </c>
      <c r="T144" s="5">
        <v>21291.0</v>
      </c>
      <c r="U144" s="5">
        <v>1465480.0</v>
      </c>
      <c r="V144" s="5">
        <v>149971.0</v>
      </c>
      <c r="W144" s="5">
        <v>143125.0</v>
      </c>
      <c r="X144" s="5">
        <v>134154.0</v>
      </c>
      <c r="Y144" s="5">
        <v>122294.0</v>
      </c>
      <c r="Z144" s="5">
        <v>137129.0</v>
      </c>
      <c r="AA144" s="5">
        <v>139223.0</v>
      </c>
      <c r="AB144" s="5">
        <v>128187.0</v>
      </c>
      <c r="AC144" s="5">
        <v>110066.0</v>
      </c>
      <c r="AD144" s="5">
        <v>96425.0</v>
      </c>
      <c r="AE144" s="5">
        <v>81173.0</v>
      </c>
      <c r="AF144" s="5">
        <v>69846.0</v>
      </c>
      <c r="AG144" s="5">
        <v>55691.0</v>
      </c>
      <c r="AH144" s="5">
        <v>42767.0</v>
      </c>
      <c r="AI144" s="5">
        <v>26714.0</v>
      </c>
      <c r="AJ144" s="5">
        <v>15372.0</v>
      </c>
      <c r="AK144" s="5">
        <v>7138.0</v>
      </c>
      <c r="AL144" s="5">
        <v>6205.0</v>
      </c>
      <c r="AM144" s="5">
        <v>1485013.0</v>
      </c>
      <c r="AN144" s="5">
        <v>141153.0</v>
      </c>
      <c r="AO144" s="5">
        <v>133291.0</v>
      </c>
      <c r="AP144" s="5">
        <v>124264.0</v>
      </c>
      <c r="AQ144" s="5">
        <v>119199.0</v>
      </c>
      <c r="AR144" s="5">
        <v>136909.0</v>
      </c>
      <c r="AS144" s="5">
        <v>137187.0</v>
      </c>
      <c r="AT144" s="5">
        <v>123834.0</v>
      </c>
      <c r="AU144" s="5">
        <v>109241.0</v>
      </c>
      <c r="AV144" s="5">
        <v>98652.0</v>
      </c>
      <c r="AW144" s="5">
        <v>84533.0</v>
      </c>
      <c r="AX144" s="5">
        <v>76389.0</v>
      </c>
      <c r="AY144" s="5">
        <v>63882.0</v>
      </c>
      <c r="AZ144" s="5">
        <v>51546.0</v>
      </c>
      <c r="BA144" s="5">
        <v>34745.0</v>
      </c>
      <c r="BB144" s="5">
        <v>22456.0</v>
      </c>
      <c r="BC144" s="5">
        <v>12646.0</v>
      </c>
      <c r="BD144" s="5">
        <v>15086.0</v>
      </c>
      <c r="BE144" s="4"/>
      <c r="BF144" s="4"/>
      <c r="BG144" s="4"/>
      <c r="BH144" s="4"/>
      <c r="BI144" s="4"/>
      <c r="BJ144" s="4"/>
    </row>
    <row r="145">
      <c r="A145" s="5"/>
      <c r="B145" s="5" t="s">
        <v>101</v>
      </c>
      <c r="C145" s="5">
        <v>124699.0</v>
      </c>
      <c r="D145" s="5">
        <v>10650.0</v>
      </c>
      <c r="E145" s="5">
        <v>10024.0</v>
      </c>
      <c r="F145" s="5">
        <v>9604.0</v>
      </c>
      <c r="G145" s="5">
        <v>8923.0</v>
      </c>
      <c r="H145" s="5">
        <v>11514.0</v>
      </c>
      <c r="I145" s="5">
        <v>11381.0</v>
      </c>
      <c r="J145" s="5">
        <v>10714.0</v>
      </c>
      <c r="K145" s="5">
        <v>9586.0</v>
      </c>
      <c r="L145" s="5">
        <v>8834.0</v>
      </c>
      <c r="M145" s="5">
        <v>7618.0</v>
      </c>
      <c r="N145" s="5">
        <v>6841.0</v>
      </c>
      <c r="O145" s="5">
        <v>5989.0</v>
      </c>
      <c r="P145" s="5">
        <v>4794.0</v>
      </c>
      <c r="Q145" s="5">
        <v>3346.0</v>
      </c>
      <c r="R145" s="5">
        <v>2263.0</v>
      </c>
      <c r="S145" s="5">
        <v>1201.0</v>
      </c>
      <c r="T145" s="5">
        <v>1417.0</v>
      </c>
      <c r="U145" s="5">
        <v>60124.0</v>
      </c>
      <c r="V145" s="5">
        <v>5475.0</v>
      </c>
      <c r="W145" s="5">
        <v>5186.0</v>
      </c>
      <c r="X145" s="5">
        <v>5055.0</v>
      </c>
      <c r="Y145" s="5">
        <v>4542.0</v>
      </c>
      <c r="Z145" s="5">
        <v>5562.0</v>
      </c>
      <c r="AA145" s="5">
        <v>5510.0</v>
      </c>
      <c r="AB145" s="5">
        <v>5263.0</v>
      </c>
      <c r="AC145" s="5">
        <v>4658.0</v>
      </c>
      <c r="AD145" s="5">
        <v>4185.0</v>
      </c>
      <c r="AE145" s="5">
        <v>3622.0</v>
      </c>
      <c r="AF145" s="5">
        <v>3256.0</v>
      </c>
      <c r="AG145" s="5">
        <v>2659.0</v>
      </c>
      <c r="AH145" s="5">
        <v>2050.0</v>
      </c>
      <c r="AI145" s="5">
        <v>1352.0</v>
      </c>
      <c r="AJ145" s="5">
        <v>958.0</v>
      </c>
      <c r="AK145" s="5">
        <v>383.0</v>
      </c>
      <c r="AL145" s="5">
        <v>408.0</v>
      </c>
      <c r="AM145" s="5">
        <v>64575.0</v>
      </c>
      <c r="AN145" s="5">
        <v>5175.0</v>
      </c>
      <c r="AO145" s="5">
        <v>4838.0</v>
      </c>
      <c r="AP145" s="5">
        <v>4549.0</v>
      </c>
      <c r="AQ145" s="5">
        <v>4381.0</v>
      </c>
      <c r="AR145" s="5">
        <v>5952.0</v>
      </c>
      <c r="AS145" s="5">
        <v>5871.0</v>
      </c>
      <c r="AT145" s="5">
        <v>5451.0</v>
      </c>
      <c r="AU145" s="5">
        <v>4928.0</v>
      </c>
      <c r="AV145" s="5">
        <v>4649.0</v>
      </c>
      <c r="AW145" s="5">
        <v>3996.0</v>
      </c>
      <c r="AX145" s="5">
        <v>3585.0</v>
      </c>
      <c r="AY145" s="5">
        <v>3330.0</v>
      </c>
      <c r="AZ145" s="5">
        <v>2744.0</v>
      </c>
      <c r="BA145" s="5">
        <v>1994.0</v>
      </c>
      <c r="BB145" s="5">
        <v>1305.0</v>
      </c>
      <c r="BC145" s="5">
        <v>818.0</v>
      </c>
      <c r="BD145" s="5">
        <v>1009.0</v>
      </c>
      <c r="BE145" s="4"/>
      <c r="BF145" s="4"/>
      <c r="BG145" s="4"/>
      <c r="BH145" s="4"/>
      <c r="BI145" s="4"/>
      <c r="BJ145" s="4"/>
    </row>
    <row r="146">
      <c r="A146" s="5"/>
      <c r="B146" s="5" t="s">
        <v>102</v>
      </c>
      <c r="C146" s="5">
        <v>1659025.0</v>
      </c>
      <c r="D146" s="5">
        <v>167266.0</v>
      </c>
      <c r="E146" s="5">
        <v>164478.0</v>
      </c>
      <c r="F146" s="5">
        <v>156972.0</v>
      </c>
      <c r="G146" s="5">
        <v>149846.0</v>
      </c>
      <c r="H146" s="5">
        <v>157942.0</v>
      </c>
      <c r="I146" s="5">
        <v>152446.0</v>
      </c>
      <c r="J146" s="5">
        <v>134931.0</v>
      </c>
      <c r="K146" s="5">
        <v>118704.0</v>
      </c>
      <c r="L146" s="5">
        <v>105656.0</v>
      </c>
      <c r="M146" s="5">
        <v>89306.0</v>
      </c>
      <c r="N146" s="5">
        <v>79300.0</v>
      </c>
      <c r="O146" s="5">
        <v>63898.0</v>
      </c>
      <c r="P146" s="5">
        <v>49784.0</v>
      </c>
      <c r="Q146" s="5">
        <v>31316.0</v>
      </c>
      <c r="R146" s="5">
        <v>18942.0</v>
      </c>
      <c r="S146" s="5">
        <v>9470.0</v>
      </c>
      <c r="T146" s="5">
        <v>8768.0</v>
      </c>
      <c r="U146" s="5">
        <v>835738.0</v>
      </c>
      <c r="V146" s="5">
        <v>87000.0</v>
      </c>
      <c r="W146" s="5">
        <v>85677.0</v>
      </c>
      <c r="X146" s="5">
        <v>80811.0</v>
      </c>
      <c r="Y146" s="5">
        <v>76819.0</v>
      </c>
      <c r="Z146" s="5">
        <v>79622.0</v>
      </c>
      <c r="AA146" s="5">
        <v>77308.0</v>
      </c>
      <c r="AB146" s="5">
        <v>69105.0</v>
      </c>
      <c r="AC146" s="5">
        <v>60200.0</v>
      </c>
      <c r="AD146" s="5">
        <v>53258.0</v>
      </c>
      <c r="AE146" s="5">
        <v>44930.0</v>
      </c>
      <c r="AF146" s="5">
        <v>39177.0</v>
      </c>
      <c r="AG146" s="5">
        <v>30641.0</v>
      </c>
      <c r="AH146" s="5">
        <v>23519.0</v>
      </c>
      <c r="AI146" s="5">
        <v>14047.0</v>
      </c>
      <c r="AJ146" s="5">
        <v>7661.0</v>
      </c>
      <c r="AK146" s="5">
        <v>3386.0</v>
      </c>
      <c r="AL146" s="5">
        <v>2577.0</v>
      </c>
      <c r="AM146" s="5">
        <v>823287.0</v>
      </c>
      <c r="AN146" s="5">
        <v>80266.0</v>
      </c>
      <c r="AO146" s="5">
        <v>78801.0</v>
      </c>
      <c r="AP146" s="5">
        <v>76161.0</v>
      </c>
      <c r="AQ146" s="5">
        <v>73027.0</v>
      </c>
      <c r="AR146" s="5">
        <v>78320.0</v>
      </c>
      <c r="AS146" s="5">
        <v>75138.0</v>
      </c>
      <c r="AT146" s="5">
        <v>65826.0</v>
      </c>
      <c r="AU146" s="5">
        <v>58504.0</v>
      </c>
      <c r="AV146" s="5">
        <v>52398.0</v>
      </c>
      <c r="AW146" s="5">
        <v>44376.0</v>
      </c>
      <c r="AX146" s="5">
        <v>40123.0</v>
      </c>
      <c r="AY146" s="5">
        <v>33257.0</v>
      </c>
      <c r="AZ146" s="5">
        <v>26265.0</v>
      </c>
      <c r="BA146" s="5">
        <v>17269.0</v>
      </c>
      <c r="BB146" s="5">
        <v>11281.0</v>
      </c>
      <c r="BC146" s="5">
        <v>6084.0</v>
      </c>
      <c r="BD146" s="5">
        <v>6191.0</v>
      </c>
      <c r="BE146" s="4"/>
      <c r="BF146" s="4"/>
      <c r="BG146" s="4"/>
      <c r="BH146" s="4"/>
      <c r="BI146" s="4"/>
      <c r="BJ146" s="4"/>
    </row>
    <row r="147">
      <c r="A147" s="5"/>
      <c r="B147" s="5" t="s">
        <v>103</v>
      </c>
      <c r="C147" s="5">
        <v>379463.0</v>
      </c>
      <c r="D147" s="5">
        <v>35984.0</v>
      </c>
      <c r="E147" s="5">
        <v>36529.0</v>
      </c>
      <c r="F147" s="5">
        <v>35817.0</v>
      </c>
      <c r="G147" s="5">
        <v>34437.0</v>
      </c>
      <c r="H147" s="5">
        <v>36859.0</v>
      </c>
      <c r="I147" s="5">
        <v>34372.0</v>
      </c>
      <c r="J147" s="5">
        <v>30303.0</v>
      </c>
      <c r="K147" s="5">
        <v>26880.0</v>
      </c>
      <c r="L147" s="5">
        <v>24617.0</v>
      </c>
      <c r="M147" s="5">
        <v>20863.0</v>
      </c>
      <c r="N147" s="5">
        <v>18149.0</v>
      </c>
      <c r="O147" s="5">
        <v>14985.0</v>
      </c>
      <c r="P147" s="5">
        <v>11945.0</v>
      </c>
      <c r="Q147" s="5">
        <v>7819.0</v>
      </c>
      <c r="R147" s="5">
        <v>5072.0</v>
      </c>
      <c r="S147" s="5">
        <v>2414.0</v>
      </c>
      <c r="T147" s="5">
        <v>2418.0</v>
      </c>
      <c r="U147" s="5">
        <v>191974.0</v>
      </c>
      <c r="V147" s="5">
        <v>18636.0</v>
      </c>
      <c r="W147" s="5">
        <v>19031.0</v>
      </c>
      <c r="X147" s="5">
        <v>18538.0</v>
      </c>
      <c r="Y147" s="5">
        <v>17698.0</v>
      </c>
      <c r="Z147" s="5">
        <v>18743.0</v>
      </c>
      <c r="AA147" s="5">
        <v>17675.0</v>
      </c>
      <c r="AB147" s="5">
        <v>15740.0</v>
      </c>
      <c r="AC147" s="5">
        <v>13641.0</v>
      </c>
      <c r="AD147" s="5">
        <v>12488.0</v>
      </c>
      <c r="AE147" s="5">
        <v>10573.0</v>
      </c>
      <c r="AF147" s="5">
        <v>9053.0</v>
      </c>
      <c r="AG147" s="5">
        <v>7335.0</v>
      </c>
      <c r="AH147" s="5">
        <v>5559.0</v>
      </c>
      <c r="AI147" s="5">
        <v>3518.0</v>
      </c>
      <c r="AJ147" s="5">
        <v>2129.0</v>
      </c>
      <c r="AK147" s="5">
        <v>911.0</v>
      </c>
      <c r="AL147" s="5">
        <v>706.0</v>
      </c>
      <c r="AM147" s="5">
        <v>187489.0</v>
      </c>
      <c r="AN147" s="5">
        <v>17348.0</v>
      </c>
      <c r="AO147" s="5">
        <v>17498.0</v>
      </c>
      <c r="AP147" s="5">
        <v>17279.0</v>
      </c>
      <c r="AQ147" s="5">
        <v>16739.0</v>
      </c>
      <c r="AR147" s="5">
        <v>18116.0</v>
      </c>
      <c r="AS147" s="5">
        <v>16697.0</v>
      </c>
      <c r="AT147" s="5">
        <v>14563.0</v>
      </c>
      <c r="AU147" s="5">
        <v>13239.0</v>
      </c>
      <c r="AV147" s="5">
        <v>12129.0</v>
      </c>
      <c r="AW147" s="5">
        <v>10290.0</v>
      </c>
      <c r="AX147" s="5">
        <v>9096.0</v>
      </c>
      <c r="AY147" s="5">
        <v>7650.0</v>
      </c>
      <c r="AZ147" s="5">
        <v>6386.0</v>
      </c>
      <c r="BA147" s="5">
        <v>4301.0</v>
      </c>
      <c r="BB147" s="5">
        <v>2943.0</v>
      </c>
      <c r="BC147" s="5">
        <v>1503.0</v>
      </c>
      <c r="BD147" s="5">
        <v>1712.0</v>
      </c>
      <c r="BE147" s="4"/>
      <c r="BF147" s="4"/>
      <c r="BG147" s="4"/>
      <c r="BH147" s="4"/>
      <c r="BI147" s="4"/>
      <c r="BJ147" s="4"/>
    </row>
    <row r="148">
      <c r="A148" s="5"/>
      <c r="B148" s="5" t="s">
        <v>104</v>
      </c>
      <c r="C148" s="5">
        <v>246743.0</v>
      </c>
      <c r="D148" s="5">
        <v>25337.0</v>
      </c>
      <c r="E148" s="5">
        <v>25699.0</v>
      </c>
      <c r="F148" s="5">
        <v>24348.0</v>
      </c>
      <c r="G148" s="5">
        <v>23052.0</v>
      </c>
      <c r="H148" s="5">
        <v>23356.0</v>
      </c>
      <c r="I148" s="5">
        <v>21398.0</v>
      </c>
      <c r="J148" s="5">
        <v>19098.0</v>
      </c>
      <c r="K148" s="5">
        <v>16814.0</v>
      </c>
      <c r="L148" s="5">
        <v>15509.0</v>
      </c>
      <c r="M148" s="5">
        <v>13164.0</v>
      </c>
      <c r="N148" s="5">
        <v>11390.0</v>
      </c>
      <c r="O148" s="5">
        <v>9428.0</v>
      </c>
      <c r="P148" s="5">
        <v>7356.0</v>
      </c>
      <c r="Q148" s="5">
        <v>4921.0</v>
      </c>
      <c r="R148" s="5">
        <v>3064.0</v>
      </c>
      <c r="S148" s="5">
        <v>1512.0</v>
      </c>
      <c r="T148" s="5">
        <v>1297.0</v>
      </c>
      <c r="U148" s="5">
        <v>125744.0</v>
      </c>
      <c r="V148" s="5">
        <v>13151.0</v>
      </c>
      <c r="W148" s="5">
        <v>13542.0</v>
      </c>
      <c r="X148" s="5">
        <v>12521.0</v>
      </c>
      <c r="Y148" s="5">
        <v>11831.0</v>
      </c>
      <c r="Z148" s="5">
        <v>11951.0</v>
      </c>
      <c r="AA148" s="5">
        <v>10976.0</v>
      </c>
      <c r="AB148" s="5">
        <v>9919.0</v>
      </c>
      <c r="AC148" s="5">
        <v>8554.0</v>
      </c>
      <c r="AD148" s="5">
        <v>8020.0</v>
      </c>
      <c r="AE148" s="5">
        <v>6796.0</v>
      </c>
      <c r="AF148" s="5">
        <v>5682.0</v>
      </c>
      <c r="AG148" s="5">
        <v>4738.0</v>
      </c>
      <c r="AH148" s="5">
        <v>3620.0</v>
      </c>
      <c r="AI148" s="5">
        <v>2276.0</v>
      </c>
      <c r="AJ148" s="5">
        <v>1212.0</v>
      </c>
      <c r="AK148" s="5">
        <v>567.0</v>
      </c>
      <c r="AL148" s="5">
        <v>388.0</v>
      </c>
      <c r="AM148" s="5">
        <v>120999.0</v>
      </c>
      <c r="AN148" s="5">
        <v>12186.0</v>
      </c>
      <c r="AO148" s="5">
        <v>12157.0</v>
      </c>
      <c r="AP148" s="5">
        <v>11827.0</v>
      </c>
      <c r="AQ148" s="5">
        <v>11221.0</v>
      </c>
      <c r="AR148" s="5">
        <v>11405.0</v>
      </c>
      <c r="AS148" s="5">
        <v>10422.0</v>
      </c>
      <c r="AT148" s="5">
        <v>9179.0</v>
      </c>
      <c r="AU148" s="5">
        <v>8260.0</v>
      </c>
      <c r="AV148" s="5">
        <v>7489.0</v>
      </c>
      <c r="AW148" s="5">
        <v>6368.0</v>
      </c>
      <c r="AX148" s="5">
        <v>5708.0</v>
      </c>
      <c r="AY148" s="5">
        <v>4690.0</v>
      </c>
      <c r="AZ148" s="5">
        <v>3736.0</v>
      </c>
      <c r="BA148" s="5">
        <v>2645.0</v>
      </c>
      <c r="BB148" s="5">
        <v>1852.0</v>
      </c>
      <c r="BC148" s="5">
        <v>945.0</v>
      </c>
      <c r="BD148" s="5">
        <v>909.0</v>
      </c>
      <c r="BE148" s="4"/>
      <c r="BF148" s="4"/>
      <c r="BG148" s="4"/>
      <c r="BH148" s="4"/>
      <c r="BI148" s="4"/>
      <c r="BJ148" s="4"/>
    </row>
    <row r="149">
      <c r="A149" s="5"/>
      <c r="B149" s="5" t="s">
        <v>105</v>
      </c>
      <c r="C149" s="5">
        <v>713181.0</v>
      </c>
      <c r="D149" s="5">
        <v>66781.0</v>
      </c>
      <c r="E149" s="5">
        <v>65212.0</v>
      </c>
      <c r="F149" s="5">
        <v>65950.0</v>
      </c>
      <c r="G149" s="5">
        <v>62632.0</v>
      </c>
      <c r="H149" s="5">
        <v>69477.0</v>
      </c>
      <c r="I149" s="5">
        <v>68677.0</v>
      </c>
      <c r="J149" s="5">
        <v>62498.0</v>
      </c>
      <c r="K149" s="5">
        <v>54590.0</v>
      </c>
      <c r="L149" s="5">
        <v>48705.0</v>
      </c>
      <c r="M149" s="5">
        <v>39381.0</v>
      </c>
      <c r="N149" s="5">
        <v>32879.0</v>
      </c>
      <c r="O149" s="5">
        <v>26193.0</v>
      </c>
      <c r="P149" s="5">
        <v>20020.0</v>
      </c>
      <c r="Q149" s="5">
        <v>13667.0</v>
      </c>
      <c r="R149" s="5">
        <v>8379.0</v>
      </c>
      <c r="S149" s="5">
        <v>4148.0</v>
      </c>
      <c r="T149" s="5">
        <v>3992.0</v>
      </c>
      <c r="U149" s="5">
        <v>362597.0</v>
      </c>
      <c r="V149" s="5">
        <v>34603.0</v>
      </c>
      <c r="W149" s="5">
        <v>33941.0</v>
      </c>
      <c r="X149" s="5">
        <v>34137.0</v>
      </c>
      <c r="Y149" s="5">
        <v>31935.0</v>
      </c>
      <c r="Z149" s="5">
        <v>35700.0</v>
      </c>
      <c r="AA149" s="5">
        <v>35586.0</v>
      </c>
      <c r="AB149" s="5">
        <v>32661.0</v>
      </c>
      <c r="AC149" s="5">
        <v>28111.0</v>
      </c>
      <c r="AD149" s="5">
        <v>24876.0</v>
      </c>
      <c r="AE149" s="5">
        <v>20019.0</v>
      </c>
      <c r="AF149" s="5">
        <v>16442.0</v>
      </c>
      <c r="AG149" s="5">
        <v>12760.0</v>
      </c>
      <c r="AH149" s="5">
        <v>9514.0</v>
      </c>
      <c r="AI149" s="5">
        <v>6113.0</v>
      </c>
      <c r="AJ149" s="5">
        <v>3496.0</v>
      </c>
      <c r="AK149" s="5">
        <v>1526.0</v>
      </c>
      <c r="AL149" s="5">
        <v>1177.0</v>
      </c>
      <c r="AM149" s="5">
        <v>350584.0</v>
      </c>
      <c r="AN149" s="5">
        <v>32178.0</v>
      </c>
      <c r="AO149" s="5">
        <v>31271.0</v>
      </c>
      <c r="AP149" s="5">
        <v>31813.0</v>
      </c>
      <c r="AQ149" s="5">
        <v>30697.0</v>
      </c>
      <c r="AR149" s="5">
        <v>33777.0</v>
      </c>
      <c r="AS149" s="5">
        <v>33091.0</v>
      </c>
      <c r="AT149" s="5">
        <v>29837.0</v>
      </c>
      <c r="AU149" s="5">
        <v>26479.0</v>
      </c>
      <c r="AV149" s="5">
        <v>23829.0</v>
      </c>
      <c r="AW149" s="5">
        <v>19362.0</v>
      </c>
      <c r="AX149" s="5">
        <v>16437.0</v>
      </c>
      <c r="AY149" s="5">
        <v>13433.0</v>
      </c>
      <c r="AZ149" s="5">
        <v>10506.0</v>
      </c>
      <c r="BA149" s="5">
        <v>7554.0</v>
      </c>
      <c r="BB149" s="5">
        <v>4883.0</v>
      </c>
      <c r="BC149" s="5">
        <v>2622.0</v>
      </c>
      <c r="BD149" s="5">
        <v>2815.0</v>
      </c>
      <c r="BE149" s="4"/>
      <c r="BF149" s="4"/>
      <c r="BG149" s="4"/>
      <c r="BH149" s="4"/>
      <c r="BI149" s="4"/>
      <c r="BJ149" s="4"/>
    </row>
    <row r="150">
      <c r="A150" s="5"/>
      <c r="B150" s="5" t="s">
        <v>106</v>
      </c>
      <c r="C150" s="5">
        <v>604283.0</v>
      </c>
      <c r="D150" s="5">
        <v>55381.0</v>
      </c>
      <c r="E150" s="5">
        <v>55195.0</v>
      </c>
      <c r="F150" s="5">
        <v>52600.0</v>
      </c>
      <c r="G150" s="5">
        <v>50701.0</v>
      </c>
      <c r="H150" s="5">
        <v>57676.0</v>
      </c>
      <c r="I150" s="5">
        <v>56189.0</v>
      </c>
      <c r="J150" s="5">
        <v>51603.0</v>
      </c>
      <c r="K150" s="5">
        <v>45993.0</v>
      </c>
      <c r="L150" s="5">
        <v>41384.0</v>
      </c>
      <c r="M150" s="5">
        <v>34524.0</v>
      </c>
      <c r="N150" s="5">
        <v>29228.0</v>
      </c>
      <c r="O150" s="5">
        <v>23615.0</v>
      </c>
      <c r="P150" s="5">
        <v>19264.0</v>
      </c>
      <c r="Q150" s="5">
        <v>13592.0</v>
      </c>
      <c r="R150" s="5">
        <v>8856.0</v>
      </c>
      <c r="S150" s="5">
        <v>4395.0</v>
      </c>
      <c r="T150" s="5">
        <v>4087.0</v>
      </c>
      <c r="U150" s="5">
        <v>299446.0</v>
      </c>
      <c r="V150" s="5">
        <v>28614.0</v>
      </c>
      <c r="W150" s="5">
        <v>28704.0</v>
      </c>
      <c r="X150" s="5">
        <v>27220.0</v>
      </c>
      <c r="Y150" s="5">
        <v>25800.0</v>
      </c>
      <c r="Z150" s="5">
        <v>29034.0</v>
      </c>
      <c r="AA150" s="5">
        <v>28149.0</v>
      </c>
      <c r="AB150" s="5">
        <v>26019.0</v>
      </c>
      <c r="AC150" s="5">
        <v>22654.0</v>
      </c>
      <c r="AD150" s="5">
        <v>20237.0</v>
      </c>
      <c r="AE150" s="5">
        <v>16971.0</v>
      </c>
      <c r="AF150" s="5">
        <v>13912.0</v>
      </c>
      <c r="AG150" s="5">
        <v>10907.0</v>
      </c>
      <c r="AH150" s="5">
        <v>8644.0</v>
      </c>
      <c r="AI150" s="5">
        <v>5942.0</v>
      </c>
      <c r="AJ150" s="5">
        <v>3706.0</v>
      </c>
      <c r="AK150" s="5">
        <v>1657.0</v>
      </c>
      <c r="AL150" s="5">
        <v>1276.0</v>
      </c>
      <c r="AM150" s="5">
        <v>304837.0</v>
      </c>
      <c r="AN150" s="5">
        <v>26767.0</v>
      </c>
      <c r="AO150" s="5">
        <v>26491.0</v>
      </c>
      <c r="AP150" s="5">
        <v>25380.0</v>
      </c>
      <c r="AQ150" s="5">
        <v>24901.0</v>
      </c>
      <c r="AR150" s="5">
        <v>28642.0</v>
      </c>
      <c r="AS150" s="5">
        <v>28040.0</v>
      </c>
      <c r="AT150" s="5">
        <v>25584.0</v>
      </c>
      <c r="AU150" s="5">
        <v>23339.0</v>
      </c>
      <c r="AV150" s="5">
        <v>21147.0</v>
      </c>
      <c r="AW150" s="5">
        <v>17553.0</v>
      </c>
      <c r="AX150" s="5">
        <v>15316.0</v>
      </c>
      <c r="AY150" s="5">
        <v>12708.0</v>
      </c>
      <c r="AZ150" s="5">
        <v>10620.0</v>
      </c>
      <c r="BA150" s="5">
        <v>7650.0</v>
      </c>
      <c r="BB150" s="5">
        <v>5150.0</v>
      </c>
      <c r="BC150" s="5">
        <v>2738.0</v>
      </c>
      <c r="BD150" s="5">
        <v>2811.0</v>
      </c>
      <c r="BE150" s="4"/>
      <c r="BF150" s="4"/>
      <c r="BG150" s="4"/>
      <c r="BH150" s="4"/>
      <c r="BI150" s="4"/>
      <c r="BJ150" s="4"/>
    </row>
    <row r="151">
      <c r="A151" s="5"/>
      <c r="B151" s="5" t="s">
        <v>107</v>
      </c>
      <c r="C151" s="5">
        <v>624032.0</v>
      </c>
      <c r="D151" s="5">
        <v>52754.0</v>
      </c>
      <c r="E151" s="5">
        <v>47909.0</v>
      </c>
      <c r="F151" s="5">
        <v>45441.0</v>
      </c>
      <c r="G151" s="5">
        <v>42820.0</v>
      </c>
      <c r="H151" s="5">
        <v>56055.0</v>
      </c>
      <c r="I151" s="5">
        <v>64903.0</v>
      </c>
      <c r="J151" s="5">
        <v>63121.0</v>
      </c>
      <c r="K151" s="5">
        <v>52033.0</v>
      </c>
      <c r="L151" s="5">
        <v>42553.0</v>
      </c>
      <c r="M151" s="5">
        <v>35406.0</v>
      </c>
      <c r="N151" s="5">
        <v>31891.0</v>
      </c>
      <c r="O151" s="5">
        <v>27895.0</v>
      </c>
      <c r="P151" s="5">
        <v>24197.0</v>
      </c>
      <c r="Q151" s="5">
        <v>15959.0</v>
      </c>
      <c r="R151" s="5">
        <v>9960.0</v>
      </c>
      <c r="S151" s="5">
        <v>5035.0</v>
      </c>
      <c r="T151" s="5">
        <v>6100.0</v>
      </c>
      <c r="U151" s="5">
        <v>302987.0</v>
      </c>
      <c r="V151" s="5">
        <v>26905.0</v>
      </c>
      <c r="W151" s="5">
        <v>24759.0</v>
      </c>
      <c r="X151" s="5">
        <v>23557.0</v>
      </c>
      <c r="Y151" s="5">
        <v>21681.0</v>
      </c>
      <c r="Z151" s="5">
        <v>27092.0</v>
      </c>
      <c r="AA151" s="5">
        <v>31737.0</v>
      </c>
      <c r="AB151" s="5">
        <v>31818.0</v>
      </c>
      <c r="AC151" s="5">
        <v>25615.0</v>
      </c>
      <c r="AD151" s="5">
        <v>20687.0</v>
      </c>
      <c r="AE151" s="5">
        <v>16841.0</v>
      </c>
      <c r="AF151" s="5">
        <v>14697.0</v>
      </c>
      <c r="AG151" s="5">
        <v>12607.0</v>
      </c>
      <c r="AH151" s="5">
        <v>10696.0</v>
      </c>
      <c r="AI151" s="5">
        <v>6767.0</v>
      </c>
      <c r="AJ151" s="5">
        <v>3975.0</v>
      </c>
      <c r="AK151" s="5">
        <v>1764.0</v>
      </c>
      <c r="AL151" s="5">
        <v>1789.0</v>
      </c>
      <c r="AM151" s="5">
        <v>321045.0</v>
      </c>
      <c r="AN151" s="5">
        <v>25849.0</v>
      </c>
      <c r="AO151" s="5">
        <v>23150.0</v>
      </c>
      <c r="AP151" s="5">
        <v>21884.0</v>
      </c>
      <c r="AQ151" s="5">
        <v>21139.0</v>
      </c>
      <c r="AR151" s="5">
        <v>28963.0</v>
      </c>
      <c r="AS151" s="5">
        <v>33166.0</v>
      </c>
      <c r="AT151" s="5">
        <v>31303.0</v>
      </c>
      <c r="AU151" s="5">
        <v>26418.0</v>
      </c>
      <c r="AV151" s="5">
        <v>21866.0</v>
      </c>
      <c r="AW151" s="5">
        <v>18565.0</v>
      </c>
      <c r="AX151" s="5">
        <v>17194.0</v>
      </c>
      <c r="AY151" s="5">
        <v>15288.0</v>
      </c>
      <c r="AZ151" s="5">
        <v>13501.0</v>
      </c>
      <c r="BA151" s="5">
        <v>9192.0</v>
      </c>
      <c r="BB151" s="5">
        <v>5985.0</v>
      </c>
      <c r="BC151" s="5">
        <v>3271.0</v>
      </c>
      <c r="BD151" s="5">
        <v>4311.0</v>
      </c>
      <c r="BE151" s="4"/>
      <c r="BF151" s="4"/>
      <c r="BG151" s="4"/>
      <c r="BH151" s="4"/>
      <c r="BI151" s="4"/>
      <c r="BJ151" s="4"/>
    </row>
    <row r="152">
      <c r="A152" s="5"/>
      <c r="B152" s="5" t="s">
        <v>108</v>
      </c>
      <c r="C152" s="5">
        <v>519112.0</v>
      </c>
      <c r="D152" s="5">
        <v>48124.0</v>
      </c>
      <c r="E152" s="5">
        <v>46271.0</v>
      </c>
      <c r="F152" s="5">
        <v>43923.0</v>
      </c>
      <c r="G152" s="5">
        <v>43559.0</v>
      </c>
      <c r="H152" s="5">
        <v>47723.0</v>
      </c>
      <c r="I152" s="5">
        <v>48596.0</v>
      </c>
      <c r="J152" s="5">
        <v>45215.0</v>
      </c>
      <c r="K152" s="5">
        <v>40881.0</v>
      </c>
      <c r="L152" s="5">
        <v>35894.0</v>
      </c>
      <c r="M152" s="5">
        <v>30066.0</v>
      </c>
      <c r="N152" s="5">
        <v>25501.0</v>
      </c>
      <c r="O152" s="5">
        <v>20545.0</v>
      </c>
      <c r="P152" s="5">
        <v>17082.0</v>
      </c>
      <c r="Q152" s="5">
        <v>11606.0</v>
      </c>
      <c r="R152" s="5">
        <v>7223.0</v>
      </c>
      <c r="S152" s="5">
        <v>3544.0</v>
      </c>
      <c r="T152" s="5">
        <v>3359.0</v>
      </c>
      <c r="U152" s="5">
        <v>256360.0</v>
      </c>
      <c r="V152" s="5">
        <v>24974.0</v>
      </c>
      <c r="W152" s="5">
        <v>23902.0</v>
      </c>
      <c r="X152" s="5">
        <v>22544.0</v>
      </c>
      <c r="Y152" s="5">
        <v>22185.0</v>
      </c>
      <c r="Z152" s="5">
        <v>23967.0</v>
      </c>
      <c r="AA152" s="5">
        <v>24387.0</v>
      </c>
      <c r="AB152" s="5">
        <v>22739.0</v>
      </c>
      <c r="AC152" s="5">
        <v>20490.0</v>
      </c>
      <c r="AD152" s="5">
        <v>17580.0</v>
      </c>
      <c r="AE152" s="5">
        <v>14507.0</v>
      </c>
      <c r="AF152" s="5">
        <v>12010.0</v>
      </c>
      <c r="AG152" s="5">
        <v>9265.0</v>
      </c>
      <c r="AH152" s="5">
        <v>7527.0</v>
      </c>
      <c r="AI152" s="5">
        <v>4924.0</v>
      </c>
      <c r="AJ152" s="5">
        <v>2981.0</v>
      </c>
      <c r="AK152" s="5">
        <v>1337.0</v>
      </c>
      <c r="AL152" s="5">
        <v>1041.0</v>
      </c>
      <c r="AM152" s="5">
        <v>262752.0</v>
      </c>
      <c r="AN152" s="5">
        <v>23150.0</v>
      </c>
      <c r="AO152" s="5">
        <v>22369.0</v>
      </c>
      <c r="AP152" s="5">
        <v>21379.0</v>
      </c>
      <c r="AQ152" s="5">
        <v>21374.0</v>
      </c>
      <c r="AR152" s="5">
        <v>23756.0</v>
      </c>
      <c r="AS152" s="5">
        <v>24209.0</v>
      </c>
      <c r="AT152" s="5">
        <v>22476.0</v>
      </c>
      <c r="AU152" s="5">
        <v>20391.0</v>
      </c>
      <c r="AV152" s="5">
        <v>18314.0</v>
      </c>
      <c r="AW152" s="5">
        <v>15559.0</v>
      </c>
      <c r="AX152" s="5">
        <v>13491.0</v>
      </c>
      <c r="AY152" s="5">
        <v>11280.0</v>
      </c>
      <c r="AZ152" s="5">
        <v>9555.0</v>
      </c>
      <c r="BA152" s="5">
        <v>6682.0</v>
      </c>
      <c r="BB152" s="5">
        <v>4242.0</v>
      </c>
      <c r="BC152" s="5">
        <v>2207.0</v>
      </c>
      <c r="BD152" s="5">
        <v>2318.0</v>
      </c>
      <c r="BE152" s="4"/>
      <c r="BF152" s="4"/>
      <c r="BG152" s="4"/>
      <c r="BH152" s="4"/>
      <c r="BI152" s="4"/>
      <c r="BJ152" s="4"/>
    </row>
    <row r="153">
      <c r="A153" s="5"/>
      <c r="B153" s="5" t="s">
        <v>109</v>
      </c>
      <c r="C153" s="5">
        <v>686313.0</v>
      </c>
      <c r="D153" s="5">
        <v>65188.0</v>
      </c>
      <c r="E153" s="5">
        <v>60674.0</v>
      </c>
      <c r="F153" s="5">
        <v>57204.0</v>
      </c>
      <c r="G153" s="5">
        <v>52275.0</v>
      </c>
      <c r="H153" s="5">
        <v>61893.0</v>
      </c>
      <c r="I153" s="5">
        <v>65062.0</v>
      </c>
      <c r="J153" s="5">
        <v>62914.0</v>
      </c>
      <c r="K153" s="5">
        <v>55303.0</v>
      </c>
      <c r="L153" s="5">
        <v>47334.0</v>
      </c>
      <c r="M153" s="5">
        <v>39761.0</v>
      </c>
      <c r="N153" s="5">
        <v>34354.0</v>
      </c>
      <c r="O153" s="5">
        <v>27554.0</v>
      </c>
      <c r="P153" s="5">
        <v>22192.0</v>
      </c>
      <c r="Q153" s="5">
        <v>14735.0</v>
      </c>
      <c r="R153" s="5">
        <v>9551.0</v>
      </c>
      <c r="S153" s="5">
        <v>5043.0</v>
      </c>
      <c r="T153" s="5">
        <v>5276.0</v>
      </c>
      <c r="U153" s="5">
        <v>339314.0</v>
      </c>
      <c r="V153" s="5">
        <v>33402.0</v>
      </c>
      <c r="W153" s="5">
        <v>31399.0</v>
      </c>
      <c r="X153" s="5">
        <v>29634.0</v>
      </c>
      <c r="Y153" s="5">
        <v>26579.0</v>
      </c>
      <c r="Z153" s="5">
        <v>31082.0</v>
      </c>
      <c r="AA153" s="5">
        <v>32920.0</v>
      </c>
      <c r="AB153" s="5">
        <v>32187.0</v>
      </c>
      <c r="AC153" s="5">
        <v>27478.0</v>
      </c>
      <c r="AD153" s="5">
        <v>23211.0</v>
      </c>
      <c r="AE153" s="5">
        <v>19198.0</v>
      </c>
      <c r="AF153" s="5">
        <v>16013.0</v>
      </c>
      <c r="AG153" s="5">
        <v>12488.0</v>
      </c>
      <c r="AH153" s="5">
        <v>9897.0</v>
      </c>
      <c r="AI153" s="5">
        <v>6353.0</v>
      </c>
      <c r="AJ153" s="5">
        <v>3929.0</v>
      </c>
      <c r="AK153" s="5">
        <v>1859.0</v>
      </c>
      <c r="AL153" s="5">
        <v>1685.0</v>
      </c>
      <c r="AM153" s="5">
        <v>346999.0</v>
      </c>
      <c r="AN153" s="5">
        <v>31786.0</v>
      </c>
      <c r="AO153" s="5">
        <v>29275.0</v>
      </c>
      <c r="AP153" s="5">
        <v>27570.0</v>
      </c>
      <c r="AQ153" s="5">
        <v>25696.0</v>
      </c>
      <c r="AR153" s="5">
        <v>30811.0</v>
      </c>
      <c r="AS153" s="5">
        <v>32142.0</v>
      </c>
      <c r="AT153" s="5">
        <v>30727.0</v>
      </c>
      <c r="AU153" s="5">
        <v>27825.0</v>
      </c>
      <c r="AV153" s="5">
        <v>24123.0</v>
      </c>
      <c r="AW153" s="5">
        <v>20563.0</v>
      </c>
      <c r="AX153" s="5">
        <v>18341.0</v>
      </c>
      <c r="AY153" s="5">
        <v>15066.0</v>
      </c>
      <c r="AZ153" s="5">
        <v>12295.0</v>
      </c>
      <c r="BA153" s="5">
        <v>8382.0</v>
      </c>
      <c r="BB153" s="5">
        <v>5622.0</v>
      </c>
      <c r="BC153" s="5">
        <v>3184.0</v>
      </c>
      <c r="BD153" s="5">
        <v>3591.0</v>
      </c>
      <c r="BE153" s="4"/>
      <c r="BF153" s="4"/>
      <c r="BG153" s="4"/>
      <c r="BH153" s="4"/>
      <c r="BI153" s="4"/>
      <c r="BJ153" s="4"/>
    </row>
    <row r="154">
      <c r="A154" s="5"/>
      <c r="B154" s="5" t="s">
        <v>110</v>
      </c>
      <c r="C154" s="5">
        <v>437003.0</v>
      </c>
      <c r="D154" s="5">
        <v>33038.0</v>
      </c>
      <c r="E154" s="5">
        <v>34698.0</v>
      </c>
      <c r="F154" s="5">
        <v>34399.0</v>
      </c>
      <c r="G154" s="5">
        <v>34196.0</v>
      </c>
      <c r="H154" s="5">
        <v>49416.0</v>
      </c>
      <c r="I154" s="5">
        <v>52250.0</v>
      </c>
      <c r="J154" s="5">
        <v>42628.0</v>
      </c>
      <c r="K154" s="5">
        <v>35045.0</v>
      </c>
      <c r="L154" s="5">
        <v>29187.0</v>
      </c>
      <c r="M154" s="5">
        <v>23236.0</v>
      </c>
      <c r="N154" s="5">
        <v>20200.0</v>
      </c>
      <c r="O154" s="5">
        <v>16047.0</v>
      </c>
      <c r="P154" s="5">
        <v>12520.0</v>
      </c>
      <c r="Q154" s="5">
        <v>8704.0</v>
      </c>
      <c r="R154" s="5">
        <v>5706.0</v>
      </c>
      <c r="S154" s="5">
        <v>2857.0</v>
      </c>
      <c r="T154" s="5">
        <v>2876.0</v>
      </c>
      <c r="U154" s="5">
        <v>217169.0</v>
      </c>
      <c r="V154" s="5">
        <v>17045.0</v>
      </c>
      <c r="W154" s="5">
        <v>17840.0</v>
      </c>
      <c r="X154" s="5">
        <v>17605.0</v>
      </c>
      <c r="Y154" s="5">
        <v>17049.0</v>
      </c>
      <c r="Z154" s="5">
        <v>24733.0</v>
      </c>
      <c r="AA154" s="5">
        <v>26241.0</v>
      </c>
      <c r="AB154" s="5">
        <v>21715.0</v>
      </c>
      <c r="AC154" s="5">
        <v>18010.0</v>
      </c>
      <c r="AD154" s="5">
        <v>14699.0</v>
      </c>
      <c r="AE154" s="5">
        <v>11463.0</v>
      </c>
      <c r="AF154" s="5">
        <v>9772.0</v>
      </c>
      <c r="AG154" s="5">
        <v>7576.0</v>
      </c>
      <c r="AH154" s="5">
        <v>5570.0</v>
      </c>
      <c r="AI154" s="5">
        <v>3789.0</v>
      </c>
      <c r="AJ154" s="5">
        <v>2268.0</v>
      </c>
      <c r="AK154" s="5">
        <v>953.0</v>
      </c>
      <c r="AL154" s="5">
        <v>841.0</v>
      </c>
      <c r="AM154" s="5">
        <v>219834.0</v>
      </c>
      <c r="AN154" s="5">
        <v>15993.0</v>
      </c>
      <c r="AO154" s="5">
        <v>16858.0</v>
      </c>
      <c r="AP154" s="5">
        <v>16794.0</v>
      </c>
      <c r="AQ154" s="5">
        <v>17147.0</v>
      </c>
      <c r="AR154" s="5">
        <v>24683.0</v>
      </c>
      <c r="AS154" s="5">
        <v>26009.0</v>
      </c>
      <c r="AT154" s="5">
        <v>20913.0</v>
      </c>
      <c r="AU154" s="5">
        <v>17035.0</v>
      </c>
      <c r="AV154" s="5">
        <v>14488.0</v>
      </c>
      <c r="AW154" s="5">
        <v>11773.0</v>
      </c>
      <c r="AX154" s="5">
        <v>10428.0</v>
      </c>
      <c r="AY154" s="5">
        <v>8471.0</v>
      </c>
      <c r="AZ154" s="5">
        <v>6950.0</v>
      </c>
      <c r="BA154" s="5">
        <v>4915.0</v>
      </c>
      <c r="BB154" s="5">
        <v>3438.0</v>
      </c>
      <c r="BC154" s="5">
        <v>1904.0</v>
      </c>
      <c r="BD154" s="5">
        <v>2035.0</v>
      </c>
      <c r="BE154" s="4"/>
      <c r="BF154" s="4"/>
      <c r="BG154" s="4"/>
      <c r="BH154" s="4"/>
      <c r="BI154" s="4"/>
      <c r="BJ154" s="4"/>
    </row>
    <row r="155">
      <c r="A155" s="5"/>
      <c r="B155" s="5" t="s">
        <v>111</v>
      </c>
      <c r="C155" s="5">
        <v>882622.0</v>
      </c>
      <c r="D155" s="5">
        <v>90829.0</v>
      </c>
      <c r="E155" s="5">
        <v>85123.0</v>
      </c>
      <c r="F155" s="5">
        <v>80819.0</v>
      </c>
      <c r="G155" s="5">
        <v>74250.0</v>
      </c>
      <c r="H155" s="5">
        <v>87932.0</v>
      </c>
      <c r="I155" s="5">
        <v>90951.0</v>
      </c>
      <c r="J155" s="5">
        <v>81765.0</v>
      </c>
      <c r="K155" s="5">
        <v>68330.0</v>
      </c>
      <c r="L155" s="5">
        <v>57484.0</v>
      </c>
      <c r="M155" s="5">
        <v>44835.0</v>
      </c>
      <c r="N155" s="5">
        <v>37324.0</v>
      </c>
      <c r="O155" s="5">
        <v>29748.0</v>
      </c>
      <c r="P155" s="5">
        <v>22939.0</v>
      </c>
      <c r="Q155" s="5">
        <v>14702.0</v>
      </c>
      <c r="R155" s="5">
        <v>8302.0</v>
      </c>
      <c r="S155" s="5">
        <v>3860.0</v>
      </c>
      <c r="T155" s="5">
        <v>3429.0</v>
      </c>
      <c r="U155" s="5">
        <v>443918.0</v>
      </c>
      <c r="V155" s="5">
        <v>47030.0</v>
      </c>
      <c r="W155" s="5">
        <v>44188.0</v>
      </c>
      <c r="X155" s="5">
        <v>41700.0</v>
      </c>
      <c r="Y155" s="5">
        <v>37534.0</v>
      </c>
      <c r="Z155" s="5">
        <v>43882.0</v>
      </c>
      <c r="AA155" s="5">
        <v>46024.0</v>
      </c>
      <c r="AB155" s="5">
        <v>41916.0</v>
      </c>
      <c r="AC155" s="5">
        <v>34732.0</v>
      </c>
      <c r="AD155" s="5">
        <v>29269.0</v>
      </c>
      <c r="AE155" s="5">
        <v>22427.0</v>
      </c>
      <c r="AF155" s="5">
        <v>18137.0</v>
      </c>
      <c r="AG155" s="5">
        <v>14172.0</v>
      </c>
      <c r="AH155" s="5">
        <v>10495.0</v>
      </c>
      <c r="AI155" s="5">
        <v>6628.0</v>
      </c>
      <c r="AJ155" s="5">
        <v>3398.0</v>
      </c>
      <c r="AK155" s="5">
        <v>1413.0</v>
      </c>
      <c r="AL155" s="5">
        <v>973.0</v>
      </c>
      <c r="AM155" s="5">
        <v>438704.0</v>
      </c>
      <c r="AN155" s="5">
        <v>43799.0</v>
      </c>
      <c r="AO155" s="5">
        <v>40935.0</v>
      </c>
      <c r="AP155" s="5">
        <v>39119.0</v>
      </c>
      <c r="AQ155" s="5">
        <v>36716.0</v>
      </c>
      <c r="AR155" s="5">
        <v>44050.0</v>
      </c>
      <c r="AS155" s="5">
        <v>44927.0</v>
      </c>
      <c r="AT155" s="5">
        <v>39849.0</v>
      </c>
      <c r="AU155" s="5">
        <v>33598.0</v>
      </c>
      <c r="AV155" s="5">
        <v>28215.0</v>
      </c>
      <c r="AW155" s="5">
        <v>22408.0</v>
      </c>
      <c r="AX155" s="5">
        <v>19187.0</v>
      </c>
      <c r="AY155" s="5">
        <v>15576.0</v>
      </c>
      <c r="AZ155" s="5">
        <v>12444.0</v>
      </c>
      <c r="BA155" s="5">
        <v>8074.0</v>
      </c>
      <c r="BB155" s="5">
        <v>4904.0</v>
      </c>
      <c r="BC155" s="5">
        <v>2447.0</v>
      </c>
      <c r="BD155" s="5">
        <v>2456.0</v>
      </c>
      <c r="BE155" s="4"/>
      <c r="BF155" s="4"/>
      <c r="BG155" s="4"/>
      <c r="BH155" s="4"/>
      <c r="BI155" s="4"/>
      <c r="BJ155" s="4"/>
    </row>
    <row r="156">
      <c r="A156" s="5"/>
      <c r="B156" s="5" t="s">
        <v>112</v>
      </c>
      <c r="C156" s="5">
        <v>65064.0</v>
      </c>
      <c r="D156" s="5">
        <v>5845.0</v>
      </c>
      <c r="E156" s="5">
        <v>5934.0</v>
      </c>
      <c r="F156" s="5">
        <v>5869.0</v>
      </c>
      <c r="G156" s="5">
        <v>5414.0</v>
      </c>
      <c r="H156" s="5">
        <v>5949.0</v>
      </c>
      <c r="I156" s="5">
        <v>5900.0</v>
      </c>
      <c r="J156" s="5">
        <v>5607.0</v>
      </c>
      <c r="K156" s="5">
        <v>4826.0</v>
      </c>
      <c r="L156" s="5">
        <v>4307.0</v>
      </c>
      <c r="M156" s="5">
        <v>3657.0</v>
      </c>
      <c r="N156" s="5">
        <v>3302.0</v>
      </c>
      <c r="O156" s="5">
        <v>2667.0</v>
      </c>
      <c r="P156" s="5">
        <v>2143.0</v>
      </c>
      <c r="Q156" s="5">
        <v>1540.0</v>
      </c>
      <c r="R156" s="5">
        <v>1008.0</v>
      </c>
      <c r="S156" s="5">
        <v>561.0</v>
      </c>
      <c r="T156" s="5">
        <v>535.0</v>
      </c>
      <c r="U156" s="5">
        <v>32366.0</v>
      </c>
      <c r="V156" s="5">
        <v>3016.0</v>
      </c>
      <c r="W156" s="5">
        <v>3070.0</v>
      </c>
      <c r="X156" s="5">
        <v>3049.0</v>
      </c>
      <c r="Y156" s="5">
        <v>2777.0</v>
      </c>
      <c r="Z156" s="5">
        <v>2966.0</v>
      </c>
      <c r="AA156" s="5">
        <v>2965.0</v>
      </c>
      <c r="AB156" s="5">
        <v>2872.0</v>
      </c>
      <c r="AC156" s="5">
        <v>2405.0</v>
      </c>
      <c r="AD156" s="5">
        <v>2158.0</v>
      </c>
      <c r="AE156" s="5">
        <v>1796.0</v>
      </c>
      <c r="AF156" s="5">
        <v>1614.0</v>
      </c>
      <c r="AG156" s="5">
        <v>1289.0</v>
      </c>
      <c r="AH156" s="5">
        <v>944.0</v>
      </c>
      <c r="AI156" s="5">
        <v>681.0</v>
      </c>
      <c r="AJ156" s="5">
        <v>407.0</v>
      </c>
      <c r="AK156" s="5">
        <v>195.0</v>
      </c>
      <c r="AL156" s="5">
        <v>162.0</v>
      </c>
      <c r="AM156" s="5">
        <v>32698.0</v>
      </c>
      <c r="AN156" s="5">
        <v>2829.0</v>
      </c>
      <c r="AO156" s="5">
        <v>2864.0</v>
      </c>
      <c r="AP156" s="5">
        <v>2820.0</v>
      </c>
      <c r="AQ156" s="5">
        <v>2637.0</v>
      </c>
      <c r="AR156" s="5">
        <v>2983.0</v>
      </c>
      <c r="AS156" s="5">
        <v>2935.0</v>
      </c>
      <c r="AT156" s="5">
        <v>2735.0</v>
      </c>
      <c r="AU156" s="5">
        <v>2421.0</v>
      </c>
      <c r="AV156" s="5">
        <v>2149.0</v>
      </c>
      <c r="AW156" s="5">
        <v>1861.0</v>
      </c>
      <c r="AX156" s="5">
        <v>1688.0</v>
      </c>
      <c r="AY156" s="5">
        <v>1378.0</v>
      </c>
      <c r="AZ156" s="5">
        <v>1199.0</v>
      </c>
      <c r="BA156" s="5">
        <v>859.0</v>
      </c>
      <c r="BB156" s="5">
        <v>601.0</v>
      </c>
      <c r="BC156" s="5">
        <v>366.0</v>
      </c>
      <c r="BD156" s="5">
        <v>373.0</v>
      </c>
      <c r="BE156" s="4"/>
      <c r="BF156" s="4"/>
      <c r="BG156" s="4"/>
      <c r="BH156" s="4"/>
      <c r="BI156" s="4"/>
      <c r="BJ156" s="4"/>
    </row>
    <row r="157">
      <c r="A157" s="5"/>
      <c r="B157" s="5" t="s">
        <v>113</v>
      </c>
      <c r="C157" s="5">
        <v>1791121.0</v>
      </c>
      <c r="D157" s="5">
        <v>158412.0</v>
      </c>
      <c r="E157" s="5">
        <v>171000.0</v>
      </c>
      <c r="F157" s="5">
        <v>175745.0</v>
      </c>
      <c r="G157" s="5">
        <v>178302.0</v>
      </c>
      <c r="H157" s="5">
        <v>174000.0</v>
      </c>
      <c r="I157" s="5">
        <v>159256.0</v>
      </c>
      <c r="J157" s="5">
        <v>140033.0</v>
      </c>
      <c r="K157" s="5">
        <v>121818.0</v>
      </c>
      <c r="L157" s="5">
        <v>104424.0</v>
      </c>
      <c r="M157" s="5">
        <v>88546.0</v>
      </c>
      <c r="N157" s="5">
        <v>81832.0</v>
      </c>
      <c r="O157" s="5">
        <v>71075.0</v>
      </c>
      <c r="P157" s="5">
        <v>58858.0</v>
      </c>
      <c r="Q157" s="5">
        <v>42484.0</v>
      </c>
      <c r="R157" s="5">
        <v>27216.0</v>
      </c>
      <c r="S157" s="5">
        <v>16714.0</v>
      </c>
      <c r="T157" s="5">
        <v>21406.0</v>
      </c>
      <c r="U157" s="5">
        <v>917431.0</v>
      </c>
      <c r="V157" s="5">
        <v>81950.0</v>
      </c>
      <c r="W157" s="5">
        <v>89241.0</v>
      </c>
      <c r="X157" s="5">
        <v>90577.0</v>
      </c>
      <c r="Y157" s="5">
        <v>90959.0</v>
      </c>
      <c r="Z157" s="5">
        <v>89131.0</v>
      </c>
      <c r="AA157" s="5">
        <v>82705.0</v>
      </c>
      <c r="AB157" s="5">
        <v>73366.0</v>
      </c>
      <c r="AC157" s="5">
        <v>64290.0</v>
      </c>
      <c r="AD157" s="5">
        <v>54819.0</v>
      </c>
      <c r="AE157" s="5">
        <v>46262.0</v>
      </c>
      <c r="AF157" s="5">
        <v>41978.0</v>
      </c>
      <c r="AG157" s="5">
        <v>36101.0</v>
      </c>
      <c r="AH157" s="5">
        <v>29029.0</v>
      </c>
      <c r="AI157" s="5">
        <v>20297.0</v>
      </c>
      <c r="AJ157" s="5">
        <v>12257.0</v>
      </c>
      <c r="AK157" s="5">
        <v>6853.0</v>
      </c>
      <c r="AL157" s="5">
        <v>7616.0</v>
      </c>
      <c r="AM157" s="5">
        <v>873690.0</v>
      </c>
      <c r="AN157" s="5">
        <v>76462.0</v>
      </c>
      <c r="AO157" s="5">
        <v>81759.0</v>
      </c>
      <c r="AP157" s="5">
        <v>85168.0</v>
      </c>
      <c r="AQ157" s="5">
        <v>87343.0</v>
      </c>
      <c r="AR157" s="5">
        <v>84869.0</v>
      </c>
      <c r="AS157" s="5">
        <v>76551.0</v>
      </c>
      <c r="AT157" s="5">
        <v>66667.0</v>
      </c>
      <c r="AU157" s="5">
        <v>57528.0</v>
      </c>
      <c r="AV157" s="5">
        <v>49605.0</v>
      </c>
      <c r="AW157" s="5">
        <v>42284.0</v>
      </c>
      <c r="AX157" s="5">
        <v>39854.0</v>
      </c>
      <c r="AY157" s="5">
        <v>34974.0</v>
      </c>
      <c r="AZ157" s="5">
        <v>29829.0</v>
      </c>
      <c r="BA157" s="5">
        <v>22187.0</v>
      </c>
      <c r="BB157" s="5">
        <v>14959.0</v>
      </c>
      <c r="BC157" s="5">
        <v>9861.0</v>
      </c>
      <c r="BD157" s="5">
        <v>13790.0</v>
      </c>
      <c r="BE157" s="4"/>
      <c r="BF157" s="4"/>
      <c r="BG157" s="4"/>
      <c r="BH157" s="4"/>
      <c r="BI157" s="4"/>
      <c r="BJ157" s="4"/>
    </row>
    <row r="158">
      <c r="A158" s="5"/>
      <c r="B158" s="5" t="s">
        <v>114</v>
      </c>
      <c r="C158" s="5">
        <v>250309.0</v>
      </c>
      <c r="D158" s="5">
        <v>19821.0</v>
      </c>
      <c r="E158" s="5">
        <v>24125.0</v>
      </c>
      <c r="F158" s="5">
        <v>25170.0</v>
      </c>
      <c r="G158" s="5">
        <v>25328.0</v>
      </c>
      <c r="H158" s="5">
        <v>21023.0</v>
      </c>
      <c r="I158" s="5">
        <v>19781.0</v>
      </c>
      <c r="J158" s="5">
        <v>18018.0</v>
      </c>
      <c r="K158" s="5">
        <v>16609.0</v>
      </c>
      <c r="L158" s="5">
        <v>14854.0</v>
      </c>
      <c r="M158" s="5">
        <v>12620.0</v>
      </c>
      <c r="N158" s="5">
        <v>12128.0</v>
      </c>
      <c r="O158" s="5">
        <v>10944.0</v>
      </c>
      <c r="P158" s="5">
        <v>9839.0</v>
      </c>
      <c r="Q158" s="5">
        <v>7406.0</v>
      </c>
      <c r="R158" s="5">
        <v>4980.0</v>
      </c>
      <c r="S158" s="5">
        <v>3085.0</v>
      </c>
      <c r="T158" s="5">
        <v>4578.0</v>
      </c>
      <c r="U158" s="5">
        <v>127632.0</v>
      </c>
      <c r="V158" s="5">
        <v>10326.0</v>
      </c>
      <c r="W158" s="5">
        <v>12530.0</v>
      </c>
      <c r="X158" s="5">
        <v>12969.0</v>
      </c>
      <c r="Y158" s="5">
        <v>13020.0</v>
      </c>
      <c r="Z158" s="5">
        <v>10905.0</v>
      </c>
      <c r="AA158" s="5">
        <v>10242.0</v>
      </c>
      <c r="AB158" s="5">
        <v>9334.0</v>
      </c>
      <c r="AC158" s="5">
        <v>8721.0</v>
      </c>
      <c r="AD158" s="5">
        <v>7833.0</v>
      </c>
      <c r="AE158" s="5">
        <v>6525.0</v>
      </c>
      <c r="AF158" s="5">
        <v>6300.0</v>
      </c>
      <c r="AG158" s="5">
        <v>5504.0</v>
      </c>
      <c r="AH158" s="5">
        <v>4905.0</v>
      </c>
      <c r="AI158" s="5">
        <v>3514.0</v>
      </c>
      <c r="AJ158" s="5">
        <v>2203.0</v>
      </c>
      <c r="AK158" s="5">
        <v>1215.0</v>
      </c>
      <c r="AL158" s="5">
        <v>1586.0</v>
      </c>
      <c r="AM158" s="5">
        <v>122677.0</v>
      </c>
      <c r="AN158" s="5">
        <v>9495.0</v>
      </c>
      <c r="AO158" s="5">
        <v>11595.0</v>
      </c>
      <c r="AP158" s="5">
        <v>12201.0</v>
      </c>
      <c r="AQ158" s="5">
        <v>12308.0</v>
      </c>
      <c r="AR158" s="5">
        <v>10118.0</v>
      </c>
      <c r="AS158" s="5">
        <v>9539.0</v>
      </c>
      <c r="AT158" s="5">
        <v>8684.0</v>
      </c>
      <c r="AU158" s="5">
        <v>7888.0</v>
      </c>
      <c r="AV158" s="5">
        <v>7021.0</v>
      </c>
      <c r="AW158" s="5">
        <v>6095.0</v>
      </c>
      <c r="AX158" s="5">
        <v>5828.0</v>
      </c>
      <c r="AY158" s="5">
        <v>5440.0</v>
      </c>
      <c r="AZ158" s="5">
        <v>4934.0</v>
      </c>
      <c r="BA158" s="5">
        <v>3892.0</v>
      </c>
      <c r="BB158" s="5">
        <v>2777.0</v>
      </c>
      <c r="BC158" s="5">
        <v>1870.0</v>
      </c>
      <c r="BD158" s="5">
        <v>2992.0</v>
      </c>
      <c r="BE158" s="4"/>
      <c r="BF158" s="4"/>
      <c r="BG158" s="4"/>
      <c r="BH158" s="4"/>
      <c r="BI158" s="4"/>
      <c r="BJ158" s="4"/>
    </row>
    <row r="159">
      <c r="A159" s="5"/>
      <c r="B159" s="5" t="s">
        <v>115</v>
      </c>
      <c r="C159" s="5">
        <v>123937.0</v>
      </c>
      <c r="D159" s="5">
        <v>11169.0</v>
      </c>
      <c r="E159" s="5">
        <v>12088.0</v>
      </c>
      <c r="F159" s="5">
        <v>13012.0</v>
      </c>
      <c r="G159" s="5">
        <v>12476.0</v>
      </c>
      <c r="H159" s="5">
        <v>11632.0</v>
      </c>
      <c r="I159" s="5">
        <v>10105.0</v>
      </c>
      <c r="J159" s="5">
        <v>8725.0</v>
      </c>
      <c r="K159" s="5">
        <v>7960.0</v>
      </c>
      <c r="L159" s="5">
        <v>7317.0</v>
      </c>
      <c r="M159" s="5">
        <v>6713.0</v>
      </c>
      <c r="N159" s="5">
        <v>5734.0</v>
      </c>
      <c r="O159" s="5">
        <v>5035.0</v>
      </c>
      <c r="P159" s="5">
        <v>4214.0</v>
      </c>
      <c r="Q159" s="5">
        <v>2960.0</v>
      </c>
      <c r="R159" s="5">
        <v>1954.0</v>
      </c>
      <c r="S159" s="5">
        <v>1250.0</v>
      </c>
      <c r="T159" s="5">
        <v>1593.0</v>
      </c>
      <c r="U159" s="5">
        <v>64221.0</v>
      </c>
      <c r="V159" s="5">
        <v>5824.0</v>
      </c>
      <c r="W159" s="5">
        <v>6375.0</v>
      </c>
      <c r="X159" s="5">
        <v>6812.0</v>
      </c>
      <c r="Y159" s="5">
        <v>6396.0</v>
      </c>
      <c r="Z159" s="5">
        <v>6018.0</v>
      </c>
      <c r="AA159" s="5">
        <v>5342.0</v>
      </c>
      <c r="AB159" s="5">
        <v>4628.0</v>
      </c>
      <c r="AC159" s="5">
        <v>4173.0</v>
      </c>
      <c r="AD159" s="5">
        <v>3856.0</v>
      </c>
      <c r="AE159" s="5">
        <v>3522.0</v>
      </c>
      <c r="AF159" s="5">
        <v>3070.0</v>
      </c>
      <c r="AG159" s="5">
        <v>2608.0</v>
      </c>
      <c r="AH159" s="5">
        <v>2116.0</v>
      </c>
      <c r="AI159" s="5">
        <v>1426.0</v>
      </c>
      <c r="AJ159" s="5">
        <v>892.0</v>
      </c>
      <c r="AK159" s="5">
        <v>555.0</v>
      </c>
      <c r="AL159" s="5">
        <v>608.0</v>
      </c>
      <c r="AM159" s="5">
        <v>59716.0</v>
      </c>
      <c r="AN159" s="5">
        <v>5345.0</v>
      </c>
      <c r="AO159" s="5">
        <v>5713.0</v>
      </c>
      <c r="AP159" s="5">
        <v>6200.0</v>
      </c>
      <c r="AQ159" s="5">
        <v>6080.0</v>
      </c>
      <c r="AR159" s="5">
        <v>5614.0</v>
      </c>
      <c r="AS159" s="5">
        <v>4763.0</v>
      </c>
      <c r="AT159" s="5">
        <v>4097.0</v>
      </c>
      <c r="AU159" s="5">
        <v>3787.0</v>
      </c>
      <c r="AV159" s="5">
        <v>3461.0</v>
      </c>
      <c r="AW159" s="5">
        <v>3191.0</v>
      </c>
      <c r="AX159" s="5">
        <v>2664.0</v>
      </c>
      <c r="AY159" s="5">
        <v>2427.0</v>
      </c>
      <c r="AZ159" s="5">
        <v>2098.0</v>
      </c>
      <c r="BA159" s="5">
        <v>1534.0</v>
      </c>
      <c r="BB159" s="5">
        <v>1062.0</v>
      </c>
      <c r="BC159" s="5">
        <v>695.0</v>
      </c>
      <c r="BD159" s="5">
        <v>985.0</v>
      </c>
      <c r="BE159" s="4"/>
      <c r="BF159" s="4"/>
      <c r="BG159" s="4"/>
      <c r="BH159" s="4"/>
      <c r="BI159" s="4"/>
      <c r="BJ159" s="4"/>
    </row>
    <row r="160">
      <c r="A160" s="5"/>
      <c r="B160" s="5" t="s">
        <v>116</v>
      </c>
      <c r="C160" s="5">
        <v>459468.0</v>
      </c>
      <c r="D160" s="5">
        <v>44600.0</v>
      </c>
      <c r="E160" s="5">
        <v>44600.0</v>
      </c>
      <c r="F160" s="5">
        <v>43730.0</v>
      </c>
      <c r="G160" s="5">
        <v>43789.0</v>
      </c>
      <c r="H160" s="5">
        <v>44984.0</v>
      </c>
      <c r="I160" s="5">
        <v>42441.0</v>
      </c>
      <c r="J160" s="5">
        <v>38230.0</v>
      </c>
      <c r="K160" s="5">
        <v>32625.0</v>
      </c>
      <c r="L160" s="5">
        <v>26865.0</v>
      </c>
      <c r="M160" s="5">
        <v>21946.0</v>
      </c>
      <c r="N160" s="5">
        <v>20356.0</v>
      </c>
      <c r="O160" s="5">
        <v>17733.0</v>
      </c>
      <c r="P160" s="5">
        <v>14108.0</v>
      </c>
      <c r="Q160" s="5">
        <v>9629.0</v>
      </c>
      <c r="R160" s="5">
        <v>5953.0</v>
      </c>
      <c r="S160" s="5">
        <v>3695.0</v>
      </c>
      <c r="T160" s="5">
        <v>4184.0</v>
      </c>
      <c r="U160" s="5">
        <v>238436.0</v>
      </c>
      <c r="V160" s="5">
        <v>22964.0</v>
      </c>
      <c r="W160" s="5">
        <v>23231.0</v>
      </c>
      <c r="X160" s="5">
        <v>22403.0</v>
      </c>
      <c r="Y160" s="5">
        <v>22330.0</v>
      </c>
      <c r="Z160" s="5">
        <v>23155.0</v>
      </c>
      <c r="AA160" s="5">
        <v>22401.0</v>
      </c>
      <c r="AB160" s="5">
        <v>20432.0</v>
      </c>
      <c r="AC160" s="5">
        <v>17559.0</v>
      </c>
      <c r="AD160" s="5">
        <v>14382.0</v>
      </c>
      <c r="AE160" s="5">
        <v>11778.0</v>
      </c>
      <c r="AF160" s="5">
        <v>10639.0</v>
      </c>
      <c r="AG160" s="5">
        <v>9350.0</v>
      </c>
      <c r="AH160" s="5">
        <v>7211.0</v>
      </c>
      <c r="AI160" s="5">
        <v>4759.0</v>
      </c>
      <c r="AJ160" s="5">
        <v>2746.0</v>
      </c>
      <c r="AK160" s="5">
        <v>1573.0</v>
      </c>
      <c r="AL160" s="5">
        <v>1523.0</v>
      </c>
      <c r="AM160" s="5">
        <v>221032.0</v>
      </c>
      <c r="AN160" s="5">
        <v>21636.0</v>
      </c>
      <c r="AO160" s="5">
        <v>21369.0</v>
      </c>
      <c r="AP160" s="5">
        <v>21327.0</v>
      </c>
      <c r="AQ160" s="5">
        <v>21459.0</v>
      </c>
      <c r="AR160" s="5">
        <v>21829.0</v>
      </c>
      <c r="AS160" s="5">
        <v>20040.0</v>
      </c>
      <c r="AT160" s="5">
        <v>17798.0</v>
      </c>
      <c r="AU160" s="5">
        <v>15066.0</v>
      </c>
      <c r="AV160" s="5">
        <v>12483.0</v>
      </c>
      <c r="AW160" s="5">
        <v>10168.0</v>
      </c>
      <c r="AX160" s="5">
        <v>9717.0</v>
      </c>
      <c r="AY160" s="5">
        <v>8383.0</v>
      </c>
      <c r="AZ160" s="5">
        <v>6897.0</v>
      </c>
      <c r="BA160" s="5">
        <v>4870.0</v>
      </c>
      <c r="BB160" s="5">
        <v>3207.0</v>
      </c>
      <c r="BC160" s="5">
        <v>2122.0</v>
      </c>
      <c r="BD160" s="5">
        <v>2661.0</v>
      </c>
      <c r="BE160" s="4"/>
      <c r="BF160" s="4"/>
      <c r="BG160" s="4"/>
      <c r="BH160" s="4"/>
      <c r="BI160" s="4"/>
      <c r="BJ160" s="4"/>
    </row>
    <row r="161">
      <c r="A161" s="5"/>
      <c r="B161" s="5" t="s">
        <v>117</v>
      </c>
      <c r="C161" s="5">
        <v>207130.0</v>
      </c>
      <c r="D161" s="5">
        <v>20424.0</v>
      </c>
      <c r="E161" s="5">
        <v>21918.0</v>
      </c>
      <c r="F161" s="5">
        <v>22235.0</v>
      </c>
      <c r="G161" s="5">
        <v>21219.0</v>
      </c>
      <c r="H161" s="5">
        <v>19754.0</v>
      </c>
      <c r="I161" s="5">
        <v>18376.0</v>
      </c>
      <c r="J161" s="5">
        <v>15723.0</v>
      </c>
      <c r="K161" s="5">
        <v>13209.0</v>
      </c>
      <c r="L161" s="5">
        <v>11348.0</v>
      </c>
      <c r="M161" s="5">
        <v>9466.0</v>
      </c>
      <c r="N161" s="5">
        <v>8398.0</v>
      </c>
      <c r="O161" s="5">
        <v>7253.0</v>
      </c>
      <c r="P161" s="5">
        <v>6032.0</v>
      </c>
      <c r="Q161" s="5">
        <v>4685.0</v>
      </c>
      <c r="R161" s="5">
        <v>2837.0</v>
      </c>
      <c r="S161" s="5">
        <v>1695.0</v>
      </c>
      <c r="T161" s="5">
        <v>2558.0</v>
      </c>
      <c r="U161" s="5">
        <v>107699.0</v>
      </c>
      <c r="V161" s="5">
        <v>10538.0</v>
      </c>
      <c r="W161" s="5">
        <v>11484.0</v>
      </c>
      <c r="X161" s="5">
        <v>11389.0</v>
      </c>
      <c r="Y161" s="5">
        <v>10901.0</v>
      </c>
      <c r="Z161" s="5">
        <v>10216.0</v>
      </c>
      <c r="AA161" s="5">
        <v>9709.0</v>
      </c>
      <c r="AB161" s="5">
        <v>8410.0</v>
      </c>
      <c r="AC161" s="5">
        <v>7263.0</v>
      </c>
      <c r="AD161" s="5">
        <v>6171.0</v>
      </c>
      <c r="AE161" s="5">
        <v>5215.0</v>
      </c>
      <c r="AF161" s="5">
        <v>4351.0</v>
      </c>
      <c r="AG161" s="5">
        <v>3734.0</v>
      </c>
      <c r="AH161" s="5">
        <v>2951.0</v>
      </c>
      <c r="AI161" s="5">
        <v>2321.0</v>
      </c>
      <c r="AJ161" s="5">
        <v>1361.0</v>
      </c>
      <c r="AK161" s="5">
        <v>707.0</v>
      </c>
      <c r="AL161" s="5">
        <v>978.0</v>
      </c>
      <c r="AM161" s="5">
        <v>99431.0</v>
      </c>
      <c r="AN161" s="5">
        <v>9886.0</v>
      </c>
      <c r="AO161" s="5">
        <v>10434.0</v>
      </c>
      <c r="AP161" s="5">
        <v>10846.0</v>
      </c>
      <c r="AQ161" s="5">
        <v>10318.0</v>
      </c>
      <c r="AR161" s="5">
        <v>9538.0</v>
      </c>
      <c r="AS161" s="5">
        <v>8667.0</v>
      </c>
      <c r="AT161" s="5">
        <v>7313.0</v>
      </c>
      <c r="AU161" s="5">
        <v>5946.0</v>
      </c>
      <c r="AV161" s="5">
        <v>5177.0</v>
      </c>
      <c r="AW161" s="5">
        <v>4251.0</v>
      </c>
      <c r="AX161" s="5">
        <v>4047.0</v>
      </c>
      <c r="AY161" s="5">
        <v>3519.0</v>
      </c>
      <c r="AZ161" s="5">
        <v>3081.0</v>
      </c>
      <c r="BA161" s="5">
        <v>2364.0</v>
      </c>
      <c r="BB161" s="5">
        <v>1476.0</v>
      </c>
      <c r="BC161" s="5">
        <v>988.0</v>
      </c>
      <c r="BD161" s="5">
        <v>1580.0</v>
      </c>
      <c r="BE161" s="4"/>
      <c r="BF161" s="4"/>
      <c r="BG161" s="4"/>
      <c r="BH161" s="4"/>
      <c r="BI161" s="4"/>
      <c r="BJ161" s="4"/>
    </row>
    <row r="162">
      <c r="A162" s="5"/>
      <c r="B162" s="5" t="s">
        <v>118</v>
      </c>
      <c r="C162" s="5">
        <v>229328.0</v>
      </c>
      <c r="D162" s="5">
        <v>22218.0</v>
      </c>
      <c r="E162" s="5">
        <v>23620.0</v>
      </c>
      <c r="F162" s="5">
        <v>24173.0</v>
      </c>
      <c r="G162" s="5">
        <v>24196.0</v>
      </c>
      <c r="H162" s="5">
        <v>22535.0</v>
      </c>
      <c r="I162" s="5">
        <v>19826.0</v>
      </c>
      <c r="J162" s="5">
        <v>16853.0</v>
      </c>
      <c r="K162" s="5">
        <v>14064.0</v>
      </c>
      <c r="L162" s="5">
        <v>12536.0</v>
      </c>
      <c r="M162" s="5">
        <v>10914.0</v>
      </c>
      <c r="N162" s="5">
        <v>9848.0</v>
      </c>
      <c r="O162" s="5">
        <v>8279.0</v>
      </c>
      <c r="P162" s="5">
        <v>6952.0</v>
      </c>
      <c r="Q162" s="5">
        <v>5188.0</v>
      </c>
      <c r="R162" s="5">
        <v>3385.0</v>
      </c>
      <c r="S162" s="5">
        <v>2174.0</v>
      </c>
      <c r="T162" s="5">
        <v>2567.0</v>
      </c>
      <c r="U162" s="5">
        <v>118539.0</v>
      </c>
      <c r="V162" s="5">
        <v>11517.0</v>
      </c>
      <c r="W162" s="5">
        <v>12261.0</v>
      </c>
      <c r="X162" s="5">
        <v>12607.0</v>
      </c>
      <c r="Y162" s="5">
        <v>12376.0</v>
      </c>
      <c r="Z162" s="5">
        <v>11630.0</v>
      </c>
      <c r="AA162" s="5">
        <v>10366.0</v>
      </c>
      <c r="AB162" s="5">
        <v>9082.0</v>
      </c>
      <c r="AC162" s="5">
        <v>7500.0</v>
      </c>
      <c r="AD162" s="5">
        <v>6698.0</v>
      </c>
      <c r="AE162" s="5">
        <v>5667.0</v>
      </c>
      <c r="AF162" s="5">
        <v>5022.0</v>
      </c>
      <c r="AG162" s="5">
        <v>4287.0</v>
      </c>
      <c r="AH162" s="5">
        <v>3387.0</v>
      </c>
      <c r="AI162" s="5">
        <v>2587.0</v>
      </c>
      <c r="AJ162" s="5">
        <v>1574.0</v>
      </c>
      <c r="AK162" s="5">
        <v>952.0</v>
      </c>
      <c r="AL162" s="5">
        <v>1026.0</v>
      </c>
      <c r="AM162" s="5">
        <v>110789.0</v>
      </c>
      <c r="AN162" s="5">
        <v>10701.0</v>
      </c>
      <c r="AO162" s="5">
        <v>11359.0</v>
      </c>
      <c r="AP162" s="5">
        <v>11566.0</v>
      </c>
      <c r="AQ162" s="5">
        <v>11820.0</v>
      </c>
      <c r="AR162" s="5">
        <v>10905.0</v>
      </c>
      <c r="AS162" s="5">
        <v>9460.0</v>
      </c>
      <c r="AT162" s="5">
        <v>7771.0</v>
      </c>
      <c r="AU162" s="5">
        <v>6564.0</v>
      </c>
      <c r="AV162" s="5">
        <v>5838.0</v>
      </c>
      <c r="AW162" s="5">
        <v>5247.0</v>
      </c>
      <c r="AX162" s="5">
        <v>4826.0</v>
      </c>
      <c r="AY162" s="5">
        <v>3992.0</v>
      </c>
      <c r="AZ162" s="5">
        <v>3565.0</v>
      </c>
      <c r="BA162" s="5">
        <v>2601.0</v>
      </c>
      <c r="BB162" s="5">
        <v>1811.0</v>
      </c>
      <c r="BC162" s="5">
        <v>1222.0</v>
      </c>
      <c r="BD162" s="5">
        <v>1541.0</v>
      </c>
      <c r="BE162" s="4"/>
      <c r="BF162" s="4"/>
      <c r="BG162" s="4"/>
      <c r="BH162" s="4"/>
      <c r="BI162" s="4"/>
      <c r="BJ162" s="4"/>
    </row>
    <row r="163">
      <c r="A163" s="5"/>
      <c r="B163" s="5" t="s">
        <v>119</v>
      </c>
      <c r="C163" s="5">
        <v>157798.0</v>
      </c>
      <c r="D163" s="5">
        <v>13607.0</v>
      </c>
      <c r="E163" s="5">
        <v>15809.0</v>
      </c>
      <c r="F163" s="5">
        <v>16712.0</v>
      </c>
      <c r="G163" s="5">
        <v>16767.0</v>
      </c>
      <c r="H163" s="5">
        <v>14611.0</v>
      </c>
      <c r="I163" s="5">
        <v>13085.0</v>
      </c>
      <c r="J163" s="5">
        <v>11666.0</v>
      </c>
      <c r="K163" s="5">
        <v>9693.0</v>
      </c>
      <c r="L163" s="5">
        <v>8449.0</v>
      </c>
      <c r="M163" s="5">
        <v>7474.0</v>
      </c>
      <c r="N163" s="5">
        <v>7198.0</v>
      </c>
      <c r="O163" s="5">
        <v>6371.0</v>
      </c>
      <c r="P163" s="5">
        <v>5351.0</v>
      </c>
      <c r="Q163" s="5">
        <v>4035.0</v>
      </c>
      <c r="R163" s="5">
        <v>2646.0</v>
      </c>
      <c r="S163" s="5">
        <v>1830.0</v>
      </c>
      <c r="T163" s="5">
        <v>2494.0</v>
      </c>
      <c r="U163" s="5">
        <v>81938.0</v>
      </c>
      <c r="V163" s="5">
        <v>7058.0</v>
      </c>
      <c r="W163" s="5">
        <v>8263.0</v>
      </c>
      <c r="X163" s="5">
        <v>8658.0</v>
      </c>
      <c r="Y163" s="5">
        <v>8654.0</v>
      </c>
      <c r="Z163" s="5">
        <v>7781.0</v>
      </c>
      <c r="AA163" s="5">
        <v>6934.0</v>
      </c>
      <c r="AB163" s="5">
        <v>6149.0</v>
      </c>
      <c r="AC163" s="5">
        <v>5209.0</v>
      </c>
      <c r="AD163" s="5">
        <v>4499.0</v>
      </c>
      <c r="AE163" s="5">
        <v>4000.0</v>
      </c>
      <c r="AF163" s="5">
        <v>3907.0</v>
      </c>
      <c r="AG163" s="5">
        <v>3326.0</v>
      </c>
      <c r="AH163" s="5">
        <v>2729.0</v>
      </c>
      <c r="AI163" s="5">
        <v>2021.0</v>
      </c>
      <c r="AJ163" s="5">
        <v>1153.0</v>
      </c>
      <c r="AK163" s="5">
        <v>751.0</v>
      </c>
      <c r="AL163" s="5">
        <v>846.0</v>
      </c>
      <c r="AM163" s="5">
        <v>75860.0</v>
      </c>
      <c r="AN163" s="5">
        <v>6549.0</v>
      </c>
      <c r="AO163" s="5">
        <v>7546.0</v>
      </c>
      <c r="AP163" s="5">
        <v>8054.0</v>
      </c>
      <c r="AQ163" s="5">
        <v>8113.0</v>
      </c>
      <c r="AR163" s="5">
        <v>6830.0</v>
      </c>
      <c r="AS163" s="5">
        <v>6151.0</v>
      </c>
      <c r="AT163" s="5">
        <v>5517.0</v>
      </c>
      <c r="AU163" s="5">
        <v>4484.0</v>
      </c>
      <c r="AV163" s="5">
        <v>3950.0</v>
      </c>
      <c r="AW163" s="5">
        <v>3474.0</v>
      </c>
      <c r="AX163" s="5">
        <v>3291.0</v>
      </c>
      <c r="AY163" s="5">
        <v>3045.0</v>
      </c>
      <c r="AZ163" s="5">
        <v>2622.0</v>
      </c>
      <c r="BA163" s="5">
        <v>2014.0</v>
      </c>
      <c r="BB163" s="5">
        <v>1493.0</v>
      </c>
      <c r="BC163" s="5">
        <v>1079.0</v>
      </c>
      <c r="BD163" s="5">
        <v>1648.0</v>
      </c>
      <c r="BE163" s="4"/>
      <c r="BF163" s="4"/>
      <c r="BG163" s="4"/>
      <c r="BH163" s="4"/>
      <c r="BI163" s="4"/>
      <c r="BJ163" s="4"/>
    </row>
    <row r="164">
      <c r="A164" s="5"/>
      <c r="B164" s="5" t="s">
        <v>120</v>
      </c>
      <c r="C164" s="5">
        <v>363151.0</v>
      </c>
      <c r="D164" s="5">
        <v>26573.0</v>
      </c>
      <c r="E164" s="5">
        <v>28840.0</v>
      </c>
      <c r="F164" s="5">
        <v>30713.0</v>
      </c>
      <c r="G164" s="5">
        <v>34527.0</v>
      </c>
      <c r="H164" s="5">
        <v>39461.0</v>
      </c>
      <c r="I164" s="5">
        <v>35642.0</v>
      </c>
      <c r="J164" s="5">
        <v>30818.0</v>
      </c>
      <c r="K164" s="5">
        <v>27658.0</v>
      </c>
      <c r="L164" s="5">
        <v>23055.0</v>
      </c>
      <c r="M164" s="5">
        <v>19413.0</v>
      </c>
      <c r="N164" s="5">
        <v>18170.0</v>
      </c>
      <c r="O164" s="5">
        <v>15460.0</v>
      </c>
      <c r="P164" s="5">
        <v>12362.0</v>
      </c>
      <c r="Q164" s="5">
        <v>8581.0</v>
      </c>
      <c r="R164" s="5">
        <v>5461.0</v>
      </c>
      <c r="S164" s="5">
        <v>2985.0</v>
      </c>
      <c r="T164" s="5">
        <v>3432.0</v>
      </c>
      <c r="U164" s="5">
        <v>178966.0</v>
      </c>
      <c r="V164" s="5">
        <v>13723.0</v>
      </c>
      <c r="W164" s="5">
        <v>15097.0</v>
      </c>
      <c r="X164" s="5">
        <v>15739.0</v>
      </c>
      <c r="Y164" s="5">
        <v>17282.0</v>
      </c>
      <c r="Z164" s="5">
        <v>19426.0</v>
      </c>
      <c r="AA164" s="5">
        <v>17711.0</v>
      </c>
      <c r="AB164" s="5">
        <v>15331.0</v>
      </c>
      <c r="AC164" s="5">
        <v>13865.0</v>
      </c>
      <c r="AD164" s="5">
        <v>11380.0</v>
      </c>
      <c r="AE164" s="5">
        <v>9555.0</v>
      </c>
      <c r="AF164" s="5">
        <v>8689.0</v>
      </c>
      <c r="AG164" s="5">
        <v>7292.0</v>
      </c>
      <c r="AH164" s="5">
        <v>5730.0</v>
      </c>
      <c r="AI164" s="5">
        <v>3669.0</v>
      </c>
      <c r="AJ164" s="5">
        <v>2328.0</v>
      </c>
      <c r="AK164" s="5">
        <v>1100.0</v>
      </c>
      <c r="AL164" s="5">
        <v>1049.0</v>
      </c>
      <c r="AM164" s="5">
        <v>184185.0</v>
      </c>
      <c r="AN164" s="5">
        <v>12850.0</v>
      </c>
      <c r="AO164" s="5">
        <v>13743.0</v>
      </c>
      <c r="AP164" s="5">
        <v>14974.0</v>
      </c>
      <c r="AQ164" s="5">
        <v>17245.0</v>
      </c>
      <c r="AR164" s="5">
        <v>20035.0</v>
      </c>
      <c r="AS164" s="5">
        <v>17931.0</v>
      </c>
      <c r="AT164" s="5">
        <v>15487.0</v>
      </c>
      <c r="AU164" s="5">
        <v>13793.0</v>
      </c>
      <c r="AV164" s="5">
        <v>11675.0</v>
      </c>
      <c r="AW164" s="5">
        <v>9858.0</v>
      </c>
      <c r="AX164" s="5">
        <v>9481.0</v>
      </c>
      <c r="AY164" s="5">
        <v>8168.0</v>
      </c>
      <c r="AZ164" s="5">
        <v>6632.0</v>
      </c>
      <c r="BA164" s="5">
        <v>4912.0</v>
      </c>
      <c r="BB164" s="5">
        <v>3133.0</v>
      </c>
      <c r="BC164" s="5">
        <v>1885.0</v>
      </c>
      <c r="BD164" s="5">
        <v>2383.0</v>
      </c>
      <c r="BE164" s="4"/>
      <c r="BF164" s="4"/>
      <c r="BG164" s="4"/>
      <c r="BH164" s="4"/>
      <c r="BI164" s="4"/>
      <c r="BJ164" s="4"/>
    </row>
    <row r="165">
      <c r="A165" s="5"/>
      <c r="B165" s="5" t="s">
        <v>121</v>
      </c>
      <c r="C165" s="5">
        <v>5292297.0</v>
      </c>
      <c r="D165" s="5">
        <v>479836.0</v>
      </c>
      <c r="E165" s="5">
        <v>499534.0</v>
      </c>
      <c r="F165" s="5">
        <v>514572.0</v>
      </c>
      <c r="G165" s="5">
        <v>501456.0</v>
      </c>
      <c r="H165" s="5">
        <v>462134.0</v>
      </c>
      <c r="I165" s="5">
        <v>421377.0</v>
      </c>
      <c r="J165" s="5">
        <v>379586.0</v>
      </c>
      <c r="K165" s="5">
        <v>356300.0</v>
      </c>
      <c r="L165" s="5">
        <v>323856.0</v>
      </c>
      <c r="M165" s="5">
        <v>286271.0</v>
      </c>
      <c r="N165" s="5">
        <v>263580.0</v>
      </c>
      <c r="O165" s="5">
        <v>226279.0</v>
      </c>
      <c r="P165" s="5">
        <v>189973.0</v>
      </c>
      <c r="Q165" s="5">
        <v>141342.0</v>
      </c>
      <c r="R165" s="5">
        <v>104465.0</v>
      </c>
      <c r="S165" s="5">
        <v>65454.0</v>
      </c>
      <c r="T165" s="5">
        <v>76282.0</v>
      </c>
      <c r="U165" s="5">
        <v>2680776.0</v>
      </c>
      <c r="V165" s="5">
        <v>248695.0</v>
      </c>
      <c r="W165" s="5">
        <v>259962.0</v>
      </c>
      <c r="X165" s="5">
        <v>267268.0</v>
      </c>
      <c r="Y165" s="5">
        <v>258916.0</v>
      </c>
      <c r="Z165" s="5">
        <v>238151.0</v>
      </c>
      <c r="AA165" s="5">
        <v>216822.0</v>
      </c>
      <c r="AB165" s="5">
        <v>195011.0</v>
      </c>
      <c r="AC165" s="5">
        <v>182835.0</v>
      </c>
      <c r="AD165" s="5">
        <v>166928.0</v>
      </c>
      <c r="AE165" s="5">
        <v>147297.0</v>
      </c>
      <c r="AF165" s="5">
        <v>134310.0</v>
      </c>
      <c r="AG165" s="5">
        <v>113221.0</v>
      </c>
      <c r="AH165" s="5">
        <v>92493.0</v>
      </c>
      <c r="AI165" s="5">
        <v>65285.0</v>
      </c>
      <c r="AJ165" s="5">
        <v>44424.0</v>
      </c>
      <c r="AK165" s="5">
        <v>24746.0</v>
      </c>
      <c r="AL165" s="5">
        <v>24412.0</v>
      </c>
      <c r="AM165" s="5">
        <v>2611521.0</v>
      </c>
      <c r="AN165" s="5">
        <v>231141.0</v>
      </c>
      <c r="AO165" s="5">
        <v>239572.0</v>
      </c>
      <c r="AP165" s="5">
        <v>247304.0</v>
      </c>
      <c r="AQ165" s="5">
        <v>242540.0</v>
      </c>
      <c r="AR165" s="5">
        <v>223983.0</v>
      </c>
      <c r="AS165" s="5">
        <v>204555.0</v>
      </c>
      <c r="AT165" s="5">
        <v>184575.0</v>
      </c>
      <c r="AU165" s="5">
        <v>173465.0</v>
      </c>
      <c r="AV165" s="5">
        <v>156928.0</v>
      </c>
      <c r="AW165" s="5">
        <v>138974.0</v>
      </c>
      <c r="AX165" s="5">
        <v>129270.0</v>
      </c>
      <c r="AY165" s="5">
        <v>113058.0</v>
      </c>
      <c r="AZ165" s="5">
        <v>97480.0</v>
      </c>
      <c r="BA165" s="5">
        <v>76057.0</v>
      </c>
      <c r="BB165" s="5">
        <v>60041.0</v>
      </c>
      <c r="BC165" s="5">
        <v>40708.0</v>
      </c>
      <c r="BD165" s="5">
        <v>51870.0</v>
      </c>
      <c r="BE165" s="4"/>
      <c r="BF165" s="4"/>
      <c r="BG165" s="4"/>
      <c r="BH165" s="4"/>
      <c r="BI165" s="4"/>
      <c r="BJ165" s="4"/>
    </row>
    <row r="166">
      <c r="A166" s="5"/>
      <c r="B166" s="5" t="s">
        <v>122</v>
      </c>
      <c r="C166" s="5">
        <v>608508.0</v>
      </c>
      <c r="D166" s="5">
        <v>46554.0</v>
      </c>
      <c r="E166" s="5">
        <v>49215.0</v>
      </c>
      <c r="F166" s="5">
        <v>55235.0</v>
      </c>
      <c r="G166" s="5">
        <v>54005.0</v>
      </c>
      <c r="H166" s="5">
        <v>52082.0</v>
      </c>
      <c r="I166" s="5">
        <v>48237.0</v>
      </c>
      <c r="J166" s="5">
        <v>45395.0</v>
      </c>
      <c r="K166" s="5">
        <v>44160.0</v>
      </c>
      <c r="L166" s="5">
        <v>39434.0</v>
      </c>
      <c r="M166" s="5">
        <v>35341.0</v>
      </c>
      <c r="N166" s="5">
        <v>33368.0</v>
      </c>
      <c r="O166" s="5">
        <v>28339.0</v>
      </c>
      <c r="P166" s="5">
        <v>23677.0</v>
      </c>
      <c r="Q166" s="5">
        <v>18078.0</v>
      </c>
      <c r="R166" s="5">
        <v>13389.0</v>
      </c>
      <c r="S166" s="5">
        <v>9749.0</v>
      </c>
      <c r="T166" s="5">
        <v>12250.0</v>
      </c>
      <c r="U166" s="5">
        <v>305992.0</v>
      </c>
      <c r="V166" s="5">
        <v>24053.0</v>
      </c>
      <c r="W166" s="5">
        <v>25721.0</v>
      </c>
      <c r="X166" s="5">
        <v>28773.0</v>
      </c>
      <c r="Y166" s="5">
        <v>27985.0</v>
      </c>
      <c r="Z166" s="5">
        <v>26963.0</v>
      </c>
      <c r="AA166" s="5">
        <v>24526.0</v>
      </c>
      <c r="AB166" s="5">
        <v>23258.0</v>
      </c>
      <c r="AC166" s="5">
        <v>22815.0</v>
      </c>
      <c r="AD166" s="5">
        <v>20269.0</v>
      </c>
      <c r="AE166" s="5">
        <v>18063.0</v>
      </c>
      <c r="AF166" s="5">
        <v>16815.0</v>
      </c>
      <c r="AG166" s="5">
        <v>13881.0</v>
      </c>
      <c r="AH166" s="5">
        <v>11249.0</v>
      </c>
      <c r="AI166" s="5">
        <v>8154.0</v>
      </c>
      <c r="AJ166" s="5">
        <v>5597.0</v>
      </c>
      <c r="AK166" s="5">
        <v>3767.0</v>
      </c>
      <c r="AL166" s="5">
        <v>4103.0</v>
      </c>
      <c r="AM166" s="5">
        <v>302516.0</v>
      </c>
      <c r="AN166" s="5">
        <v>22501.0</v>
      </c>
      <c r="AO166" s="5">
        <v>23494.0</v>
      </c>
      <c r="AP166" s="5">
        <v>26462.0</v>
      </c>
      <c r="AQ166" s="5">
        <v>26020.0</v>
      </c>
      <c r="AR166" s="5">
        <v>25119.0</v>
      </c>
      <c r="AS166" s="5">
        <v>23711.0</v>
      </c>
      <c r="AT166" s="5">
        <v>22137.0</v>
      </c>
      <c r="AU166" s="5">
        <v>21345.0</v>
      </c>
      <c r="AV166" s="5">
        <v>19165.0</v>
      </c>
      <c r="AW166" s="5">
        <v>17278.0</v>
      </c>
      <c r="AX166" s="5">
        <v>16553.0</v>
      </c>
      <c r="AY166" s="5">
        <v>14458.0</v>
      </c>
      <c r="AZ166" s="5">
        <v>12428.0</v>
      </c>
      <c r="BA166" s="5">
        <v>9924.0</v>
      </c>
      <c r="BB166" s="5">
        <v>7792.0</v>
      </c>
      <c r="BC166" s="5">
        <v>5982.0</v>
      </c>
      <c r="BD166" s="5">
        <v>8147.0</v>
      </c>
      <c r="BE166" s="4"/>
      <c r="BF166" s="4"/>
      <c r="BG166" s="4"/>
      <c r="BH166" s="4"/>
      <c r="BI166" s="4"/>
      <c r="BJ166" s="4"/>
    </row>
    <row r="167">
      <c r="A167" s="5"/>
      <c r="B167" s="5" t="s">
        <v>123</v>
      </c>
      <c r="C167" s="5">
        <v>704218.0</v>
      </c>
      <c r="D167" s="5">
        <v>53016.0</v>
      </c>
      <c r="E167" s="5">
        <v>59988.0</v>
      </c>
      <c r="F167" s="5">
        <v>65732.0</v>
      </c>
      <c r="G167" s="5">
        <v>64483.0</v>
      </c>
      <c r="H167" s="5">
        <v>58781.0</v>
      </c>
      <c r="I167" s="5">
        <v>56268.0</v>
      </c>
      <c r="J167" s="5">
        <v>51235.0</v>
      </c>
      <c r="K167" s="5">
        <v>49720.0</v>
      </c>
      <c r="L167" s="5">
        <v>45825.0</v>
      </c>
      <c r="M167" s="5">
        <v>39850.0</v>
      </c>
      <c r="N167" s="5">
        <v>37299.0</v>
      </c>
      <c r="O167" s="5">
        <v>33199.0</v>
      </c>
      <c r="P167" s="5">
        <v>27675.0</v>
      </c>
      <c r="Q167" s="5">
        <v>21470.0</v>
      </c>
      <c r="R167" s="5">
        <v>15166.0</v>
      </c>
      <c r="S167" s="5">
        <v>10630.0</v>
      </c>
      <c r="T167" s="5">
        <v>13881.0</v>
      </c>
      <c r="U167" s="5">
        <v>355807.0</v>
      </c>
      <c r="V167" s="5">
        <v>27602.0</v>
      </c>
      <c r="W167" s="5">
        <v>31219.0</v>
      </c>
      <c r="X167" s="5">
        <v>33965.0</v>
      </c>
      <c r="Y167" s="5">
        <v>33297.0</v>
      </c>
      <c r="Z167" s="5">
        <v>30445.0</v>
      </c>
      <c r="AA167" s="5">
        <v>29079.0</v>
      </c>
      <c r="AB167" s="5">
        <v>26429.0</v>
      </c>
      <c r="AC167" s="5">
        <v>25568.0</v>
      </c>
      <c r="AD167" s="5">
        <v>23795.0</v>
      </c>
      <c r="AE167" s="5">
        <v>20548.0</v>
      </c>
      <c r="AF167" s="5">
        <v>19212.0</v>
      </c>
      <c r="AG167" s="5">
        <v>16717.0</v>
      </c>
      <c r="AH167" s="5">
        <v>13447.0</v>
      </c>
      <c r="AI167" s="5">
        <v>9805.0</v>
      </c>
      <c r="AJ167" s="5">
        <v>6405.0</v>
      </c>
      <c r="AK167" s="5">
        <v>3871.0</v>
      </c>
      <c r="AL167" s="5">
        <v>4403.0</v>
      </c>
      <c r="AM167" s="5">
        <v>348411.0</v>
      </c>
      <c r="AN167" s="5">
        <v>25414.0</v>
      </c>
      <c r="AO167" s="5">
        <v>28769.0</v>
      </c>
      <c r="AP167" s="5">
        <v>31767.0</v>
      </c>
      <c r="AQ167" s="5">
        <v>31186.0</v>
      </c>
      <c r="AR167" s="5">
        <v>28336.0</v>
      </c>
      <c r="AS167" s="5">
        <v>27189.0</v>
      </c>
      <c r="AT167" s="5">
        <v>24806.0</v>
      </c>
      <c r="AU167" s="5">
        <v>24152.0</v>
      </c>
      <c r="AV167" s="5">
        <v>22030.0</v>
      </c>
      <c r="AW167" s="5">
        <v>19302.0</v>
      </c>
      <c r="AX167" s="5">
        <v>18087.0</v>
      </c>
      <c r="AY167" s="5">
        <v>16482.0</v>
      </c>
      <c r="AZ167" s="5">
        <v>14228.0</v>
      </c>
      <c r="BA167" s="5">
        <v>11665.0</v>
      </c>
      <c r="BB167" s="5">
        <v>8761.0</v>
      </c>
      <c r="BC167" s="5">
        <v>6759.0</v>
      </c>
      <c r="BD167" s="5">
        <v>9478.0</v>
      </c>
      <c r="BE167" s="4"/>
      <c r="BF167" s="4"/>
      <c r="BG167" s="4"/>
      <c r="BH167" s="4"/>
      <c r="BI167" s="4"/>
      <c r="BJ167" s="4"/>
    </row>
    <row r="168">
      <c r="A168" s="5"/>
      <c r="B168" s="5" t="s">
        <v>124</v>
      </c>
      <c r="C168" s="5">
        <v>820343.0</v>
      </c>
      <c r="D168" s="5">
        <v>67901.0</v>
      </c>
      <c r="E168" s="5">
        <v>72652.0</v>
      </c>
      <c r="F168" s="5">
        <v>75487.0</v>
      </c>
      <c r="G168" s="5">
        <v>75025.0</v>
      </c>
      <c r="H168" s="5">
        <v>72345.0</v>
      </c>
      <c r="I168" s="5">
        <v>66842.0</v>
      </c>
      <c r="J168" s="5">
        <v>60960.0</v>
      </c>
      <c r="K168" s="5">
        <v>57321.0</v>
      </c>
      <c r="L168" s="5">
        <v>51684.0</v>
      </c>
      <c r="M168" s="5">
        <v>45366.0</v>
      </c>
      <c r="N168" s="5">
        <v>42627.0</v>
      </c>
      <c r="O168" s="5">
        <v>37567.0</v>
      </c>
      <c r="P168" s="5">
        <v>32171.0</v>
      </c>
      <c r="Q168" s="5">
        <v>23544.0</v>
      </c>
      <c r="R168" s="5">
        <v>16869.0</v>
      </c>
      <c r="S168" s="5">
        <v>9730.0</v>
      </c>
      <c r="T168" s="5">
        <v>12252.0</v>
      </c>
      <c r="U168" s="5">
        <v>414862.0</v>
      </c>
      <c r="V168" s="5">
        <v>35210.0</v>
      </c>
      <c r="W168" s="5">
        <v>37891.0</v>
      </c>
      <c r="X168" s="5">
        <v>39168.0</v>
      </c>
      <c r="Y168" s="5">
        <v>38729.0</v>
      </c>
      <c r="Z168" s="5">
        <v>37253.0</v>
      </c>
      <c r="AA168" s="5">
        <v>34309.0</v>
      </c>
      <c r="AB168" s="5">
        <v>31215.0</v>
      </c>
      <c r="AC168" s="5">
        <v>29443.0</v>
      </c>
      <c r="AD168" s="5">
        <v>26567.0</v>
      </c>
      <c r="AE168" s="5">
        <v>23336.0</v>
      </c>
      <c r="AF168" s="5">
        <v>21755.0</v>
      </c>
      <c r="AG168" s="5">
        <v>18730.0</v>
      </c>
      <c r="AH168" s="5">
        <v>15622.0</v>
      </c>
      <c r="AI168" s="5">
        <v>10902.0</v>
      </c>
      <c r="AJ168" s="5">
        <v>7154.0</v>
      </c>
      <c r="AK168" s="5">
        <v>3723.0</v>
      </c>
      <c r="AL168" s="5">
        <v>3855.0</v>
      </c>
      <c r="AM168" s="5">
        <v>405481.0</v>
      </c>
      <c r="AN168" s="5">
        <v>32691.0</v>
      </c>
      <c r="AO168" s="5">
        <v>34761.0</v>
      </c>
      <c r="AP168" s="5">
        <v>36319.0</v>
      </c>
      <c r="AQ168" s="5">
        <v>36296.0</v>
      </c>
      <c r="AR168" s="5">
        <v>35092.0</v>
      </c>
      <c r="AS168" s="5">
        <v>32533.0</v>
      </c>
      <c r="AT168" s="5">
        <v>29745.0</v>
      </c>
      <c r="AU168" s="5">
        <v>27878.0</v>
      </c>
      <c r="AV168" s="5">
        <v>25117.0</v>
      </c>
      <c r="AW168" s="5">
        <v>22030.0</v>
      </c>
      <c r="AX168" s="5">
        <v>20872.0</v>
      </c>
      <c r="AY168" s="5">
        <v>18837.0</v>
      </c>
      <c r="AZ168" s="5">
        <v>16549.0</v>
      </c>
      <c r="BA168" s="5">
        <v>12642.0</v>
      </c>
      <c r="BB168" s="5">
        <v>9715.0</v>
      </c>
      <c r="BC168" s="5">
        <v>6007.0</v>
      </c>
      <c r="BD168" s="5">
        <v>8397.0</v>
      </c>
      <c r="BE168" s="4"/>
      <c r="BF168" s="4"/>
      <c r="BG168" s="4"/>
      <c r="BH168" s="4"/>
      <c r="BI168" s="4"/>
      <c r="BJ168" s="4"/>
    </row>
    <row r="169">
      <c r="A169" s="5"/>
      <c r="B169" s="5" t="s">
        <v>125</v>
      </c>
      <c r="C169" s="5">
        <v>3159228.0</v>
      </c>
      <c r="D169" s="5">
        <v>312365.0</v>
      </c>
      <c r="E169" s="5">
        <v>317679.0</v>
      </c>
      <c r="F169" s="5">
        <v>318118.0</v>
      </c>
      <c r="G169" s="5">
        <v>307943.0</v>
      </c>
      <c r="H169" s="5">
        <v>278926.0</v>
      </c>
      <c r="I169" s="5">
        <v>250030.0</v>
      </c>
      <c r="J169" s="5">
        <v>221996.0</v>
      </c>
      <c r="K169" s="5">
        <v>205099.0</v>
      </c>
      <c r="L169" s="5">
        <v>186913.0</v>
      </c>
      <c r="M169" s="5">
        <v>165714.0</v>
      </c>
      <c r="N169" s="5">
        <v>150286.0</v>
      </c>
      <c r="O169" s="5">
        <v>127174.0</v>
      </c>
      <c r="P169" s="5">
        <v>106450.0</v>
      </c>
      <c r="Q169" s="5">
        <v>78250.0</v>
      </c>
      <c r="R169" s="5">
        <v>59041.0</v>
      </c>
      <c r="S169" s="5">
        <v>35345.0</v>
      </c>
      <c r="T169" s="5">
        <v>37899.0</v>
      </c>
      <c r="U169" s="5">
        <v>1604115.0</v>
      </c>
      <c r="V169" s="5">
        <v>161830.0</v>
      </c>
      <c r="W169" s="5">
        <v>165131.0</v>
      </c>
      <c r="X169" s="5">
        <v>165362.0</v>
      </c>
      <c r="Y169" s="5">
        <v>158905.0</v>
      </c>
      <c r="Z169" s="5">
        <v>143490.0</v>
      </c>
      <c r="AA169" s="5">
        <v>128908.0</v>
      </c>
      <c r="AB169" s="5">
        <v>114109.0</v>
      </c>
      <c r="AC169" s="5">
        <v>105009.0</v>
      </c>
      <c r="AD169" s="5">
        <v>96297.0</v>
      </c>
      <c r="AE169" s="5">
        <v>85350.0</v>
      </c>
      <c r="AF169" s="5">
        <v>76528.0</v>
      </c>
      <c r="AG169" s="5">
        <v>63893.0</v>
      </c>
      <c r="AH169" s="5">
        <v>52175.0</v>
      </c>
      <c r="AI169" s="5">
        <v>36424.0</v>
      </c>
      <c r="AJ169" s="5">
        <v>25268.0</v>
      </c>
      <c r="AK169" s="5">
        <v>13385.0</v>
      </c>
      <c r="AL169" s="5">
        <v>12051.0</v>
      </c>
      <c r="AM169" s="5">
        <v>1555113.0</v>
      </c>
      <c r="AN169" s="5">
        <v>150535.0</v>
      </c>
      <c r="AO169" s="5">
        <v>152548.0</v>
      </c>
      <c r="AP169" s="5">
        <v>152756.0</v>
      </c>
      <c r="AQ169" s="5">
        <v>149038.0</v>
      </c>
      <c r="AR169" s="5">
        <v>135436.0</v>
      </c>
      <c r="AS169" s="5">
        <v>121122.0</v>
      </c>
      <c r="AT169" s="5">
        <v>107887.0</v>
      </c>
      <c r="AU169" s="5">
        <v>100090.0</v>
      </c>
      <c r="AV169" s="5">
        <v>90616.0</v>
      </c>
      <c r="AW169" s="5">
        <v>80364.0</v>
      </c>
      <c r="AX169" s="5">
        <v>73758.0</v>
      </c>
      <c r="AY169" s="5">
        <v>63281.0</v>
      </c>
      <c r="AZ169" s="5">
        <v>54275.0</v>
      </c>
      <c r="BA169" s="5">
        <v>41826.0</v>
      </c>
      <c r="BB169" s="5">
        <v>33773.0</v>
      </c>
      <c r="BC169" s="5">
        <v>21960.0</v>
      </c>
      <c r="BD169" s="5">
        <v>25848.0</v>
      </c>
      <c r="BE169" s="4"/>
      <c r="BF169" s="4"/>
      <c r="BG169" s="4"/>
      <c r="BH169" s="4"/>
      <c r="BI169" s="4"/>
      <c r="BJ169" s="4"/>
    </row>
    <row r="170">
      <c r="A170" s="5"/>
      <c r="B170" s="5" t="s">
        <v>126</v>
      </c>
      <c r="C170" s="5">
        <v>3679748.0</v>
      </c>
      <c r="D170" s="5">
        <v>330628.0</v>
      </c>
      <c r="E170" s="5">
        <v>360920.0</v>
      </c>
      <c r="F170" s="5">
        <v>366630.0</v>
      </c>
      <c r="G170" s="5">
        <v>345848.0</v>
      </c>
      <c r="H170" s="5">
        <v>329597.0</v>
      </c>
      <c r="I170" s="5">
        <v>304439.0</v>
      </c>
      <c r="J170" s="5">
        <v>272457.0</v>
      </c>
      <c r="K170" s="5">
        <v>244230.0</v>
      </c>
      <c r="L170" s="5">
        <v>228991.0</v>
      </c>
      <c r="M170" s="5">
        <v>199708.0</v>
      </c>
      <c r="N170" s="5">
        <v>179505.0</v>
      </c>
      <c r="O170" s="5">
        <v>158411.0</v>
      </c>
      <c r="P170" s="5">
        <v>131106.0</v>
      </c>
      <c r="Q170" s="5">
        <v>93670.0</v>
      </c>
      <c r="R170" s="5">
        <v>58740.0</v>
      </c>
      <c r="S170" s="5">
        <v>34129.0</v>
      </c>
      <c r="T170" s="5">
        <v>40739.0</v>
      </c>
      <c r="U170" s="5">
        <v>1874484.0</v>
      </c>
      <c r="V170" s="5">
        <v>170454.0</v>
      </c>
      <c r="W170" s="5">
        <v>187779.0</v>
      </c>
      <c r="X170" s="5">
        <v>189028.0</v>
      </c>
      <c r="Y170" s="5">
        <v>178096.0</v>
      </c>
      <c r="Z170" s="5">
        <v>169442.0</v>
      </c>
      <c r="AA170" s="5">
        <v>156337.0</v>
      </c>
      <c r="AB170" s="5">
        <v>140913.0</v>
      </c>
      <c r="AC170" s="5">
        <v>126525.0</v>
      </c>
      <c r="AD170" s="5">
        <v>118800.0</v>
      </c>
      <c r="AE170" s="5">
        <v>103705.0</v>
      </c>
      <c r="AF170" s="5">
        <v>92002.0</v>
      </c>
      <c r="AG170" s="5">
        <v>80117.0</v>
      </c>
      <c r="AH170" s="5">
        <v>64610.0</v>
      </c>
      <c r="AI170" s="5">
        <v>44049.0</v>
      </c>
      <c r="AJ170" s="5">
        <v>25532.0</v>
      </c>
      <c r="AK170" s="5">
        <v>13384.0</v>
      </c>
      <c r="AL170" s="5">
        <v>13711.0</v>
      </c>
      <c r="AM170" s="5">
        <v>1805264.0</v>
      </c>
      <c r="AN170" s="5">
        <v>160174.0</v>
      </c>
      <c r="AO170" s="5">
        <v>173141.0</v>
      </c>
      <c r="AP170" s="5">
        <v>177602.0</v>
      </c>
      <c r="AQ170" s="5">
        <v>167752.0</v>
      </c>
      <c r="AR170" s="5">
        <v>160155.0</v>
      </c>
      <c r="AS170" s="5">
        <v>148102.0</v>
      </c>
      <c r="AT170" s="5">
        <v>131544.0</v>
      </c>
      <c r="AU170" s="5">
        <v>117705.0</v>
      </c>
      <c r="AV170" s="5">
        <v>110191.0</v>
      </c>
      <c r="AW170" s="5">
        <v>96003.0</v>
      </c>
      <c r="AX170" s="5">
        <v>87503.0</v>
      </c>
      <c r="AY170" s="5">
        <v>78294.0</v>
      </c>
      <c r="AZ170" s="5">
        <v>66496.0</v>
      </c>
      <c r="BA170" s="5">
        <v>49621.0</v>
      </c>
      <c r="BB170" s="5">
        <v>33208.0</v>
      </c>
      <c r="BC170" s="5">
        <v>20745.0</v>
      </c>
      <c r="BD170" s="5">
        <v>27028.0</v>
      </c>
      <c r="BE170" s="4"/>
      <c r="BF170" s="4"/>
      <c r="BG170" s="4"/>
      <c r="BH170" s="4"/>
      <c r="BI170" s="4"/>
      <c r="BJ170" s="4"/>
    </row>
    <row r="171">
      <c r="A171" s="5"/>
      <c r="B171" s="5" t="s">
        <v>127</v>
      </c>
      <c r="C171" s="5">
        <v>18593.0</v>
      </c>
      <c r="D171" s="5">
        <v>1342.0</v>
      </c>
      <c r="E171" s="5">
        <v>1518.0</v>
      </c>
      <c r="F171" s="5">
        <v>1656.0</v>
      </c>
      <c r="G171" s="5">
        <v>1790.0</v>
      </c>
      <c r="H171" s="5">
        <v>1605.0</v>
      </c>
      <c r="I171" s="5">
        <v>1494.0</v>
      </c>
      <c r="J171" s="5">
        <v>1303.0</v>
      </c>
      <c r="K171" s="5">
        <v>1202.0</v>
      </c>
      <c r="L171" s="5">
        <v>1193.0</v>
      </c>
      <c r="M171" s="5">
        <v>1192.0</v>
      </c>
      <c r="N171" s="5">
        <v>1026.0</v>
      </c>
      <c r="O171" s="5">
        <v>893.0</v>
      </c>
      <c r="P171" s="5">
        <v>679.0</v>
      </c>
      <c r="Q171" s="5">
        <v>560.0</v>
      </c>
      <c r="R171" s="5">
        <v>386.0</v>
      </c>
      <c r="S171" s="5">
        <v>316.0</v>
      </c>
      <c r="T171" s="5">
        <v>438.0</v>
      </c>
      <c r="U171" s="5">
        <v>9541.0</v>
      </c>
      <c r="V171" s="5">
        <v>684.0</v>
      </c>
      <c r="W171" s="5">
        <v>828.0</v>
      </c>
      <c r="X171" s="5">
        <v>863.0</v>
      </c>
      <c r="Y171" s="5">
        <v>916.0</v>
      </c>
      <c r="Z171" s="5">
        <v>859.0</v>
      </c>
      <c r="AA171" s="5">
        <v>825.0</v>
      </c>
      <c r="AB171" s="5">
        <v>696.0</v>
      </c>
      <c r="AC171" s="5">
        <v>620.0</v>
      </c>
      <c r="AD171" s="5">
        <v>651.0</v>
      </c>
      <c r="AE171" s="5">
        <v>614.0</v>
      </c>
      <c r="AF171" s="5">
        <v>540.0</v>
      </c>
      <c r="AG171" s="5">
        <v>468.0</v>
      </c>
      <c r="AH171" s="5">
        <v>323.0</v>
      </c>
      <c r="AI171" s="5">
        <v>262.0</v>
      </c>
      <c r="AJ171" s="5">
        <v>160.0</v>
      </c>
      <c r="AK171" s="5">
        <v>114.0</v>
      </c>
      <c r="AL171" s="5">
        <v>118.0</v>
      </c>
      <c r="AM171" s="5">
        <v>9052.0</v>
      </c>
      <c r="AN171" s="5">
        <v>658.0</v>
      </c>
      <c r="AO171" s="5">
        <v>690.0</v>
      </c>
      <c r="AP171" s="5">
        <v>793.0</v>
      </c>
      <c r="AQ171" s="5">
        <v>874.0</v>
      </c>
      <c r="AR171" s="5">
        <v>746.0</v>
      </c>
      <c r="AS171" s="5">
        <v>669.0</v>
      </c>
      <c r="AT171" s="5">
        <v>607.0</v>
      </c>
      <c r="AU171" s="5">
        <v>582.0</v>
      </c>
      <c r="AV171" s="5">
        <v>542.0</v>
      </c>
      <c r="AW171" s="5">
        <v>578.0</v>
      </c>
      <c r="AX171" s="5">
        <v>486.0</v>
      </c>
      <c r="AY171" s="5">
        <v>425.0</v>
      </c>
      <c r="AZ171" s="5">
        <v>356.0</v>
      </c>
      <c r="BA171" s="5">
        <v>298.0</v>
      </c>
      <c r="BB171" s="5">
        <v>226.0</v>
      </c>
      <c r="BC171" s="5">
        <v>202.0</v>
      </c>
      <c r="BD171" s="5">
        <v>320.0</v>
      </c>
      <c r="BE171" s="4"/>
      <c r="BF171" s="4"/>
      <c r="BG171" s="4"/>
      <c r="BH171" s="4"/>
      <c r="BI171" s="4"/>
      <c r="BJ171" s="4"/>
    </row>
    <row r="172">
      <c r="A172" s="5"/>
      <c r="B172" s="5" t="s">
        <v>128</v>
      </c>
      <c r="C172" s="5">
        <v>1265540.0</v>
      </c>
      <c r="D172" s="5">
        <v>109736.0</v>
      </c>
      <c r="E172" s="5">
        <v>123700.0</v>
      </c>
      <c r="F172" s="5">
        <v>126024.0</v>
      </c>
      <c r="G172" s="5">
        <v>118615.0</v>
      </c>
      <c r="H172" s="5">
        <v>114666.0</v>
      </c>
      <c r="I172" s="5">
        <v>103798.0</v>
      </c>
      <c r="J172" s="5">
        <v>91679.0</v>
      </c>
      <c r="K172" s="5">
        <v>83107.0</v>
      </c>
      <c r="L172" s="5">
        <v>77360.0</v>
      </c>
      <c r="M172" s="5">
        <v>68308.0</v>
      </c>
      <c r="N172" s="5">
        <v>61269.0</v>
      </c>
      <c r="O172" s="5">
        <v>55562.0</v>
      </c>
      <c r="P172" s="5">
        <v>47125.0</v>
      </c>
      <c r="Q172" s="5">
        <v>34133.0</v>
      </c>
      <c r="R172" s="5">
        <v>21112.0</v>
      </c>
      <c r="S172" s="5">
        <v>12827.0</v>
      </c>
      <c r="T172" s="5">
        <v>16519.0</v>
      </c>
      <c r="U172" s="5">
        <v>640546.0</v>
      </c>
      <c r="V172" s="5">
        <v>56847.0</v>
      </c>
      <c r="W172" s="5">
        <v>64441.0</v>
      </c>
      <c r="X172" s="5">
        <v>65069.0</v>
      </c>
      <c r="Y172" s="5">
        <v>61057.0</v>
      </c>
      <c r="Z172" s="5">
        <v>58829.0</v>
      </c>
      <c r="AA172" s="5">
        <v>52967.0</v>
      </c>
      <c r="AB172" s="5">
        <v>46957.0</v>
      </c>
      <c r="AC172" s="5">
        <v>42569.0</v>
      </c>
      <c r="AD172" s="5">
        <v>39677.0</v>
      </c>
      <c r="AE172" s="5">
        <v>35292.0</v>
      </c>
      <c r="AF172" s="5">
        <v>31067.0</v>
      </c>
      <c r="AG172" s="5">
        <v>27816.0</v>
      </c>
      <c r="AH172" s="5">
        <v>22683.0</v>
      </c>
      <c r="AI172" s="5">
        <v>15852.0</v>
      </c>
      <c r="AJ172" s="5">
        <v>8943.0</v>
      </c>
      <c r="AK172" s="5">
        <v>4955.0</v>
      </c>
      <c r="AL172" s="5">
        <v>5525.0</v>
      </c>
      <c r="AM172" s="5">
        <v>624994.0</v>
      </c>
      <c r="AN172" s="5">
        <v>52889.0</v>
      </c>
      <c r="AO172" s="5">
        <v>59259.0</v>
      </c>
      <c r="AP172" s="5">
        <v>60955.0</v>
      </c>
      <c r="AQ172" s="5">
        <v>57558.0</v>
      </c>
      <c r="AR172" s="5">
        <v>55837.0</v>
      </c>
      <c r="AS172" s="5">
        <v>50831.0</v>
      </c>
      <c r="AT172" s="5">
        <v>44722.0</v>
      </c>
      <c r="AU172" s="5">
        <v>40538.0</v>
      </c>
      <c r="AV172" s="5">
        <v>37683.0</v>
      </c>
      <c r="AW172" s="5">
        <v>33016.0</v>
      </c>
      <c r="AX172" s="5">
        <v>30202.0</v>
      </c>
      <c r="AY172" s="5">
        <v>27746.0</v>
      </c>
      <c r="AZ172" s="5">
        <v>24442.0</v>
      </c>
      <c r="BA172" s="5">
        <v>18281.0</v>
      </c>
      <c r="BB172" s="5">
        <v>12169.0</v>
      </c>
      <c r="BC172" s="5">
        <v>7872.0</v>
      </c>
      <c r="BD172" s="5">
        <v>10994.0</v>
      </c>
      <c r="BE172" s="4"/>
      <c r="BF172" s="4"/>
      <c r="BG172" s="4"/>
      <c r="BH172" s="4"/>
      <c r="BI172" s="4"/>
      <c r="BJ172" s="4"/>
    </row>
    <row r="173">
      <c r="A173" s="5"/>
      <c r="B173" s="5" t="s">
        <v>129</v>
      </c>
      <c r="C173" s="5">
        <v>1695539.0</v>
      </c>
      <c r="D173" s="5">
        <v>154625.0</v>
      </c>
      <c r="E173" s="5">
        <v>164949.0</v>
      </c>
      <c r="F173" s="5">
        <v>168961.0</v>
      </c>
      <c r="G173" s="5">
        <v>158359.0</v>
      </c>
      <c r="H173" s="5">
        <v>151139.0</v>
      </c>
      <c r="I173" s="5">
        <v>141693.0</v>
      </c>
      <c r="J173" s="5">
        <v>127440.0</v>
      </c>
      <c r="K173" s="5">
        <v>112591.0</v>
      </c>
      <c r="L173" s="5">
        <v>107391.0</v>
      </c>
      <c r="M173" s="5">
        <v>93214.0</v>
      </c>
      <c r="N173" s="5">
        <v>83922.0</v>
      </c>
      <c r="O173" s="5">
        <v>72827.0</v>
      </c>
      <c r="P173" s="5">
        <v>59072.0</v>
      </c>
      <c r="Q173" s="5">
        <v>41626.0</v>
      </c>
      <c r="R173" s="5">
        <v>26307.0</v>
      </c>
      <c r="S173" s="5">
        <v>15032.0</v>
      </c>
      <c r="T173" s="5">
        <v>16391.0</v>
      </c>
      <c r="U173" s="5">
        <v>863523.0</v>
      </c>
      <c r="V173" s="5">
        <v>79424.0</v>
      </c>
      <c r="W173" s="5">
        <v>85694.0</v>
      </c>
      <c r="X173" s="5">
        <v>87154.0</v>
      </c>
      <c r="Y173" s="5">
        <v>81649.0</v>
      </c>
      <c r="Z173" s="5">
        <v>77409.0</v>
      </c>
      <c r="AA173" s="5">
        <v>72534.0</v>
      </c>
      <c r="AB173" s="5">
        <v>65846.0</v>
      </c>
      <c r="AC173" s="5">
        <v>58106.0</v>
      </c>
      <c r="AD173" s="5">
        <v>55667.0</v>
      </c>
      <c r="AE173" s="5">
        <v>48330.0</v>
      </c>
      <c r="AF173" s="5">
        <v>42866.0</v>
      </c>
      <c r="AG173" s="5">
        <v>36940.0</v>
      </c>
      <c r="AH173" s="5">
        <v>29420.0</v>
      </c>
      <c r="AI173" s="5">
        <v>19555.0</v>
      </c>
      <c r="AJ173" s="5">
        <v>11513.0</v>
      </c>
      <c r="AK173" s="5">
        <v>5860.0</v>
      </c>
      <c r="AL173" s="5">
        <v>5556.0</v>
      </c>
      <c r="AM173" s="5">
        <v>832016.0</v>
      </c>
      <c r="AN173" s="5">
        <v>75201.0</v>
      </c>
      <c r="AO173" s="5">
        <v>79255.0</v>
      </c>
      <c r="AP173" s="5">
        <v>81807.0</v>
      </c>
      <c r="AQ173" s="5">
        <v>76710.0</v>
      </c>
      <c r="AR173" s="5">
        <v>73730.0</v>
      </c>
      <c r="AS173" s="5">
        <v>69159.0</v>
      </c>
      <c r="AT173" s="5">
        <v>61594.0</v>
      </c>
      <c r="AU173" s="5">
        <v>54485.0</v>
      </c>
      <c r="AV173" s="5">
        <v>51724.0</v>
      </c>
      <c r="AW173" s="5">
        <v>44884.0</v>
      </c>
      <c r="AX173" s="5">
        <v>41056.0</v>
      </c>
      <c r="AY173" s="5">
        <v>35887.0</v>
      </c>
      <c r="AZ173" s="5">
        <v>29652.0</v>
      </c>
      <c r="BA173" s="5">
        <v>22071.0</v>
      </c>
      <c r="BB173" s="5">
        <v>14794.0</v>
      </c>
      <c r="BC173" s="5">
        <v>9172.0</v>
      </c>
      <c r="BD173" s="5">
        <v>10835.0</v>
      </c>
      <c r="BE173" s="4"/>
      <c r="BF173" s="4"/>
      <c r="BG173" s="4"/>
      <c r="BH173" s="4"/>
      <c r="BI173" s="4"/>
      <c r="BJ173" s="4"/>
    </row>
    <row r="174">
      <c r="A174" s="5"/>
      <c r="B174" s="5" t="s">
        <v>130</v>
      </c>
      <c r="C174" s="5">
        <v>496546.0</v>
      </c>
      <c r="D174" s="5">
        <v>46071.0</v>
      </c>
      <c r="E174" s="5">
        <v>50144.0</v>
      </c>
      <c r="F174" s="5">
        <v>48787.0</v>
      </c>
      <c r="G174" s="5">
        <v>47325.0</v>
      </c>
      <c r="H174" s="5">
        <v>44108.0</v>
      </c>
      <c r="I174" s="5">
        <v>40671.0</v>
      </c>
      <c r="J174" s="5">
        <v>37009.0</v>
      </c>
      <c r="K174" s="5">
        <v>33532.0</v>
      </c>
      <c r="L174" s="5">
        <v>30351.0</v>
      </c>
      <c r="M174" s="5">
        <v>25980.0</v>
      </c>
      <c r="N174" s="5">
        <v>23819.0</v>
      </c>
      <c r="O174" s="5">
        <v>20919.0</v>
      </c>
      <c r="P174" s="5">
        <v>17457.0</v>
      </c>
      <c r="Q174" s="5">
        <v>12598.0</v>
      </c>
      <c r="R174" s="5">
        <v>8019.0</v>
      </c>
      <c r="S174" s="5">
        <v>4272.0</v>
      </c>
      <c r="T174" s="5">
        <v>5484.0</v>
      </c>
      <c r="U174" s="5">
        <v>255505.0</v>
      </c>
      <c r="V174" s="5">
        <v>23838.0</v>
      </c>
      <c r="W174" s="5">
        <v>26100.0</v>
      </c>
      <c r="X174" s="5">
        <v>25020.0</v>
      </c>
      <c r="Y174" s="5">
        <v>24218.0</v>
      </c>
      <c r="Z174" s="5">
        <v>22982.0</v>
      </c>
      <c r="AA174" s="5">
        <v>21175.0</v>
      </c>
      <c r="AB174" s="5">
        <v>19509.0</v>
      </c>
      <c r="AC174" s="5">
        <v>17914.0</v>
      </c>
      <c r="AD174" s="5">
        <v>16103.0</v>
      </c>
      <c r="AE174" s="5">
        <v>13636.0</v>
      </c>
      <c r="AF174" s="5">
        <v>12466.0</v>
      </c>
      <c r="AG174" s="5">
        <v>10684.0</v>
      </c>
      <c r="AH174" s="5">
        <v>8727.0</v>
      </c>
      <c r="AI174" s="5">
        <v>5994.0</v>
      </c>
      <c r="AJ174" s="5">
        <v>3570.0</v>
      </c>
      <c r="AK174" s="5">
        <v>1735.0</v>
      </c>
      <c r="AL174" s="5">
        <v>1834.0</v>
      </c>
      <c r="AM174" s="5">
        <v>241041.0</v>
      </c>
      <c r="AN174" s="5">
        <v>22233.0</v>
      </c>
      <c r="AO174" s="5">
        <v>24044.0</v>
      </c>
      <c r="AP174" s="5">
        <v>23767.0</v>
      </c>
      <c r="AQ174" s="5">
        <v>23107.0</v>
      </c>
      <c r="AR174" s="5">
        <v>21126.0</v>
      </c>
      <c r="AS174" s="5">
        <v>19496.0</v>
      </c>
      <c r="AT174" s="5">
        <v>17500.0</v>
      </c>
      <c r="AU174" s="5">
        <v>15618.0</v>
      </c>
      <c r="AV174" s="5">
        <v>14248.0</v>
      </c>
      <c r="AW174" s="5">
        <v>12344.0</v>
      </c>
      <c r="AX174" s="5">
        <v>11353.0</v>
      </c>
      <c r="AY174" s="5">
        <v>10235.0</v>
      </c>
      <c r="AZ174" s="5">
        <v>8730.0</v>
      </c>
      <c r="BA174" s="5">
        <v>6604.0</v>
      </c>
      <c r="BB174" s="5">
        <v>4449.0</v>
      </c>
      <c r="BC174" s="5">
        <v>2537.0</v>
      </c>
      <c r="BD174" s="5">
        <v>3650.0</v>
      </c>
      <c r="BE174" s="4"/>
      <c r="BF174" s="4"/>
      <c r="BG174" s="4"/>
      <c r="BH174" s="4"/>
      <c r="BI174" s="4"/>
      <c r="BJ174" s="4"/>
    </row>
    <row r="175">
      <c r="A175" s="5"/>
      <c r="B175" s="5" t="s">
        <v>131</v>
      </c>
      <c r="C175" s="5">
        <v>203530.0</v>
      </c>
      <c r="D175" s="5">
        <v>18854.0</v>
      </c>
      <c r="E175" s="5">
        <v>20609.0</v>
      </c>
      <c r="F175" s="5">
        <v>21202.0</v>
      </c>
      <c r="G175" s="5">
        <v>19759.0</v>
      </c>
      <c r="H175" s="5">
        <v>18079.0</v>
      </c>
      <c r="I175" s="5">
        <v>16783.0</v>
      </c>
      <c r="J175" s="5">
        <v>15026.0</v>
      </c>
      <c r="K175" s="5">
        <v>13798.0</v>
      </c>
      <c r="L175" s="5">
        <v>12696.0</v>
      </c>
      <c r="M175" s="5">
        <v>11014.0</v>
      </c>
      <c r="N175" s="5">
        <v>9469.0</v>
      </c>
      <c r="O175" s="5">
        <v>8210.0</v>
      </c>
      <c r="P175" s="5">
        <v>6773.0</v>
      </c>
      <c r="Q175" s="5">
        <v>4753.0</v>
      </c>
      <c r="R175" s="5">
        <v>2916.0</v>
      </c>
      <c r="S175" s="5">
        <v>1682.0</v>
      </c>
      <c r="T175" s="5">
        <v>1907.0</v>
      </c>
      <c r="U175" s="5">
        <v>105369.0</v>
      </c>
      <c r="V175" s="5">
        <v>9661.0</v>
      </c>
      <c r="W175" s="5">
        <v>10716.0</v>
      </c>
      <c r="X175" s="5">
        <v>10922.0</v>
      </c>
      <c r="Y175" s="5">
        <v>10256.0</v>
      </c>
      <c r="Z175" s="5">
        <v>9363.0</v>
      </c>
      <c r="AA175" s="5">
        <v>8836.0</v>
      </c>
      <c r="AB175" s="5">
        <v>7905.0</v>
      </c>
      <c r="AC175" s="5">
        <v>7316.0</v>
      </c>
      <c r="AD175" s="5">
        <v>6702.0</v>
      </c>
      <c r="AE175" s="5">
        <v>5833.0</v>
      </c>
      <c r="AF175" s="5">
        <v>5063.0</v>
      </c>
      <c r="AG175" s="5">
        <v>4209.0</v>
      </c>
      <c r="AH175" s="5">
        <v>3457.0</v>
      </c>
      <c r="AI175" s="5">
        <v>2386.0</v>
      </c>
      <c r="AJ175" s="5">
        <v>1346.0</v>
      </c>
      <c r="AK175" s="5">
        <v>720.0</v>
      </c>
      <c r="AL175" s="5">
        <v>678.0</v>
      </c>
      <c r="AM175" s="5">
        <v>98161.0</v>
      </c>
      <c r="AN175" s="5">
        <v>9193.0</v>
      </c>
      <c r="AO175" s="5">
        <v>9893.0</v>
      </c>
      <c r="AP175" s="5">
        <v>10280.0</v>
      </c>
      <c r="AQ175" s="5">
        <v>9503.0</v>
      </c>
      <c r="AR175" s="5">
        <v>8716.0</v>
      </c>
      <c r="AS175" s="5">
        <v>7947.0</v>
      </c>
      <c r="AT175" s="5">
        <v>7121.0</v>
      </c>
      <c r="AU175" s="5">
        <v>6482.0</v>
      </c>
      <c r="AV175" s="5">
        <v>5994.0</v>
      </c>
      <c r="AW175" s="5">
        <v>5181.0</v>
      </c>
      <c r="AX175" s="5">
        <v>4406.0</v>
      </c>
      <c r="AY175" s="5">
        <v>4001.0</v>
      </c>
      <c r="AZ175" s="5">
        <v>3316.0</v>
      </c>
      <c r="BA175" s="5">
        <v>2367.0</v>
      </c>
      <c r="BB175" s="5">
        <v>1570.0</v>
      </c>
      <c r="BC175" s="5">
        <v>962.0</v>
      </c>
      <c r="BD175" s="5">
        <v>1229.0</v>
      </c>
      <c r="BE175" s="4"/>
      <c r="BF175" s="4"/>
      <c r="BG175" s="4"/>
      <c r="BH175" s="4"/>
      <c r="BI175" s="4"/>
      <c r="BJ175" s="4"/>
    </row>
    <row r="176">
      <c r="A176" s="5"/>
      <c r="B176" s="5" t="s">
        <v>132</v>
      </c>
      <c r="C176" s="5">
        <v>1.2387811E7</v>
      </c>
      <c r="D176" s="5">
        <v>1188464.0</v>
      </c>
      <c r="E176" s="5">
        <v>1211975.0</v>
      </c>
      <c r="F176" s="5">
        <v>1218156.0</v>
      </c>
      <c r="G176" s="5">
        <v>1152536.0</v>
      </c>
      <c r="H176" s="5">
        <v>1150568.0</v>
      </c>
      <c r="I176" s="5">
        <v>1052402.0</v>
      </c>
      <c r="J176" s="5">
        <v>930115.0</v>
      </c>
      <c r="K176" s="5">
        <v>841804.0</v>
      </c>
      <c r="L176" s="5">
        <v>777765.0</v>
      </c>
      <c r="M176" s="5">
        <v>665783.0</v>
      </c>
      <c r="N176" s="5">
        <v>607096.0</v>
      </c>
      <c r="O176" s="5">
        <v>496775.0</v>
      </c>
      <c r="P176" s="5">
        <v>402832.0</v>
      </c>
      <c r="Q176" s="5">
        <v>282382.0</v>
      </c>
      <c r="R176" s="5">
        <v>193592.0</v>
      </c>
      <c r="S176" s="5">
        <v>106218.0</v>
      </c>
      <c r="T176" s="5">
        <v>109348.0</v>
      </c>
      <c r="U176" s="5">
        <v>6272297.0</v>
      </c>
      <c r="V176" s="5">
        <v>614754.0</v>
      </c>
      <c r="W176" s="5">
        <v>631189.0</v>
      </c>
      <c r="X176" s="5">
        <v>631237.0</v>
      </c>
      <c r="Y176" s="5">
        <v>592278.0</v>
      </c>
      <c r="Z176" s="5">
        <v>588612.0</v>
      </c>
      <c r="AA176" s="5">
        <v>537260.0</v>
      </c>
      <c r="AB176" s="5">
        <v>474054.0</v>
      </c>
      <c r="AC176" s="5">
        <v>425786.0</v>
      </c>
      <c r="AD176" s="5">
        <v>395517.0</v>
      </c>
      <c r="AE176" s="5">
        <v>339182.0</v>
      </c>
      <c r="AF176" s="5">
        <v>305450.0</v>
      </c>
      <c r="AG176" s="5">
        <v>248107.0</v>
      </c>
      <c r="AH176" s="5">
        <v>196046.0</v>
      </c>
      <c r="AI176" s="5">
        <v>131614.0</v>
      </c>
      <c r="AJ176" s="5">
        <v>84212.0</v>
      </c>
      <c r="AK176" s="5">
        <v>41714.0</v>
      </c>
      <c r="AL176" s="5">
        <v>35285.0</v>
      </c>
      <c r="AM176" s="5">
        <v>6115514.0</v>
      </c>
      <c r="AN176" s="5">
        <v>573710.0</v>
      </c>
      <c r="AO176" s="5">
        <v>580786.0</v>
      </c>
      <c r="AP176" s="5">
        <v>586919.0</v>
      </c>
      <c r="AQ176" s="5">
        <v>560258.0</v>
      </c>
      <c r="AR176" s="5">
        <v>561956.0</v>
      </c>
      <c r="AS176" s="5">
        <v>515142.0</v>
      </c>
      <c r="AT176" s="5">
        <v>456061.0</v>
      </c>
      <c r="AU176" s="5">
        <v>416018.0</v>
      </c>
      <c r="AV176" s="5">
        <v>382248.0</v>
      </c>
      <c r="AW176" s="5">
        <v>326601.0</v>
      </c>
      <c r="AX176" s="5">
        <v>301646.0</v>
      </c>
      <c r="AY176" s="5">
        <v>248668.0</v>
      </c>
      <c r="AZ176" s="5">
        <v>206786.0</v>
      </c>
      <c r="BA176" s="5">
        <v>150768.0</v>
      </c>
      <c r="BB176" s="5">
        <v>109380.0</v>
      </c>
      <c r="BC176" s="5">
        <v>64504.0</v>
      </c>
      <c r="BD176" s="5">
        <v>74063.0</v>
      </c>
      <c r="BE176" s="4"/>
      <c r="BF176" s="4"/>
      <c r="BG176" s="4"/>
      <c r="BH176" s="4"/>
      <c r="BI176" s="4"/>
      <c r="BJ176" s="4"/>
    </row>
    <row r="177">
      <c r="A177" s="5"/>
      <c r="B177" s="5" t="s">
        <v>133</v>
      </c>
      <c r="C177" s="5">
        <v>234991.0</v>
      </c>
      <c r="D177" s="5">
        <v>23603.0</v>
      </c>
      <c r="E177" s="5">
        <v>25017.0</v>
      </c>
      <c r="F177" s="5">
        <v>25458.0</v>
      </c>
      <c r="G177" s="5">
        <v>23791.0</v>
      </c>
      <c r="H177" s="5">
        <v>21160.0</v>
      </c>
      <c r="I177" s="5">
        <v>18575.0</v>
      </c>
      <c r="J177" s="5">
        <v>16728.0</v>
      </c>
      <c r="K177" s="5">
        <v>14440.0</v>
      </c>
      <c r="L177" s="5">
        <v>13266.0</v>
      </c>
      <c r="M177" s="5">
        <v>12419.0</v>
      </c>
      <c r="N177" s="5">
        <v>11026.0</v>
      </c>
      <c r="O177" s="5">
        <v>9218.0</v>
      </c>
      <c r="P177" s="5">
        <v>7510.0</v>
      </c>
      <c r="Q177" s="5">
        <v>5300.0</v>
      </c>
      <c r="R177" s="5">
        <v>3441.0</v>
      </c>
      <c r="S177" s="5">
        <v>2039.0</v>
      </c>
      <c r="T177" s="5">
        <v>2000.0</v>
      </c>
      <c r="U177" s="5">
        <v>120266.0</v>
      </c>
      <c r="V177" s="5">
        <v>12135.0</v>
      </c>
      <c r="W177" s="5">
        <v>13004.0</v>
      </c>
      <c r="X177" s="5">
        <v>13198.0</v>
      </c>
      <c r="Y177" s="5">
        <v>12155.0</v>
      </c>
      <c r="Z177" s="5">
        <v>10847.0</v>
      </c>
      <c r="AA177" s="5">
        <v>9500.0</v>
      </c>
      <c r="AB177" s="5">
        <v>8663.0</v>
      </c>
      <c r="AC177" s="5">
        <v>7497.0</v>
      </c>
      <c r="AD177" s="5">
        <v>6846.0</v>
      </c>
      <c r="AE177" s="5">
        <v>6415.0</v>
      </c>
      <c r="AF177" s="5">
        <v>5754.0</v>
      </c>
      <c r="AG177" s="5">
        <v>4883.0</v>
      </c>
      <c r="AH177" s="5">
        <v>3749.0</v>
      </c>
      <c r="AI177" s="5">
        <v>2567.0</v>
      </c>
      <c r="AJ177" s="5">
        <v>1545.0</v>
      </c>
      <c r="AK177" s="5">
        <v>832.0</v>
      </c>
      <c r="AL177" s="5">
        <v>676.0</v>
      </c>
      <c r="AM177" s="5">
        <v>114725.0</v>
      </c>
      <c r="AN177" s="5">
        <v>11468.0</v>
      </c>
      <c r="AO177" s="5">
        <v>12013.0</v>
      </c>
      <c r="AP177" s="5">
        <v>12260.0</v>
      </c>
      <c r="AQ177" s="5">
        <v>11636.0</v>
      </c>
      <c r="AR177" s="5">
        <v>10313.0</v>
      </c>
      <c r="AS177" s="5">
        <v>9075.0</v>
      </c>
      <c r="AT177" s="5">
        <v>8065.0</v>
      </c>
      <c r="AU177" s="5">
        <v>6943.0</v>
      </c>
      <c r="AV177" s="5">
        <v>6420.0</v>
      </c>
      <c r="AW177" s="5">
        <v>6004.0</v>
      </c>
      <c r="AX177" s="5">
        <v>5272.0</v>
      </c>
      <c r="AY177" s="5">
        <v>4335.0</v>
      </c>
      <c r="AZ177" s="5">
        <v>3761.0</v>
      </c>
      <c r="BA177" s="5">
        <v>2733.0</v>
      </c>
      <c r="BB177" s="5">
        <v>1896.0</v>
      </c>
      <c r="BC177" s="5">
        <v>1207.0</v>
      </c>
      <c r="BD177" s="5">
        <v>1324.0</v>
      </c>
      <c r="BE177" s="4"/>
      <c r="BF177" s="4"/>
      <c r="BG177" s="4"/>
      <c r="BH177" s="4"/>
      <c r="BI177" s="4"/>
      <c r="BJ177" s="4"/>
    </row>
    <row r="178">
      <c r="A178" s="5"/>
      <c r="B178" s="5" t="s">
        <v>134</v>
      </c>
      <c r="C178" s="5">
        <v>849575.0</v>
      </c>
      <c r="D178" s="5">
        <v>85714.0</v>
      </c>
      <c r="E178" s="5">
        <v>85450.0</v>
      </c>
      <c r="F178" s="5">
        <v>84388.0</v>
      </c>
      <c r="G178" s="5">
        <v>77625.0</v>
      </c>
      <c r="H178" s="5">
        <v>78481.0</v>
      </c>
      <c r="I178" s="5">
        <v>71061.0</v>
      </c>
      <c r="J178" s="5">
        <v>63884.0</v>
      </c>
      <c r="K178" s="5">
        <v>58679.0</v>
      </c>
      <c r="L178" s="5">
        <v>52910.0</v>
      </c>
      <c r="M178" s="5">
        <v>43705.0</v>
      </c>
      <c r="N178" s="5">
        <v>40186.0</v>
      </c>
      <c r="O178" s="5">
        <v>33815.0</v>
      </c>
      <c r="P178" s="5">
        <v>28600.0</v>
      </c>
      <c r="Q178" s="5">
        <v>20068.0</v>
      </c>
      <c r="R178" s="5">
        <v>12933.0</v>
      </c>
      <c r="S178" s="5">
        <v>5883.0</v>
      </c>
      <c r="T178" s="5">
        <v>6193.0</v>
      </c>
      <c r="U178" s="5">
        <v>428745.0</v>
      </c>
      <c r="V178" s="5">
        <v>44152.0</v>
      </c>
      <c r="W178" s="5">
        <v>44313.0</v>
      </c>
      <c r="X178" s="5">
        <v>43715.0</v>
      </c>
      <c r="Y178" s="5">
        <v>39859.0</v>
      </c>
      <c r="Z178" s="5">
        <v>40365.0</v>
      </c>
      <c r="AA178" s="5">
        <v>36120.0</v>
      </c>
      <c r="AB178" s="5">
        <v>32550.0</v>
      </c>
      <c r="AC178" s="5">
        <v>29494.0</v>
      </c>
      <c r="AD178" s="5">
        <v>26589.0</v>
      </c>
      <c r="AE178" s="5">
        <v>22096.0</v>
      </c>
      <c r="AF178" s="5">
        <v>19907.0</v>
      </c>
      <c r="AG178" s="5">
        <v>16565.0</v>
      </c>
      <c r="AH178" s="5">
        <v>13696.0</v>
      </c>
      <c r="AI178" s="5">
        <v>9193.0</v>
      </c>
      <c r="AJ178" s="5">
        <v>5782.0</v>
      </c>
      <c r="AK178" s="5">
        <v>2340.0</v>
      </c>
      <c r="AL178" s="5">
        <v>2009.0</v>
      </c>
      <c r="AM178" s="5">
        <v>420830.0</v>
      </c>
      <c r="AN178" s="5">
        <v>41562.0</v>
      </c>
      <c r="AO178" s="5">
        <v>41137.0</v>
      </c>
      <c r="AP178" s="5">
        <v>40673.0</v>
      </c>
      <c r="AQ178" s="5">
        <v>37766.0</v>
      </c>
      <c r="AR178" s="5">
        <v>38116.0</v>
      </c>
      <c r="AS178" s="5">
        <v>34941.0</v>
      </c>
      <c r="AT178" s="5">
        <v>31334.0</v>
      </c>
      <c r="AU178" s="5">
        <v>29185.0</v>
      </c>
      <c r="AV178" s="5">
        <v>26321.0</v>
      </c>
      <c r="AW178" s="5">
        <v>21609.0</v>
      </c>
      <c r="AX178" s="5">
        <v>20279.0</v>
      </c>
      <c r="AY178" s="5">
        <v>17250.0</v>
      </c>
      <c r="AZ178" s="5">
        <v>14904.0</v>
      </c>
      <c r="BA178" s="5">
        <v>10875.0</v>
      </c>
      <c r="BB178" s="5">
        <v>7151.0</v>
      </c>
      <c r="BC178" s="5">
        <v>3543.0</v>
      </c>
      <c r="BD178" s="5">
        <v>4184.0</v>
      </c>
      <c r="BE178" s="4"/>
      <c r="BF178" s="4"/>
      <c r="BG178" s="4"/>
      <c r="BH178" s="4"/>
      <c r="BI178" s="4"/>
      <c r="BJ178" s="4"/>
    </row>
    <row r="179">
      <c r="A179" s="5"/>
      <c r="B179" s="5" t="s">
        <v>135</v>
      </c>
      <c r="C179" s="5">
        <v>3696937.0</v>
      </c>
      <c r="D179" s="5">
        <v>346244.0</v>
      </c>
      <c r="E179" s="5">
        <v>358629.0</v>
      </c>
      <c r="F179" s="5">
        <v>362009.0</v>
      </c>
      <c r="G179" s="5">
        <v>341372.0</v>
      </c>
      <c r="H179" s="5">
        <v>348472.0</v>
      </c>
      <c r="I179" s="5">
        <v>320087.0</v>
      </c>
      <c r="J179" s="5">
        <v>280918.0</v>
      </c>
      <c r="K179" s="5">
        <v>258248.0</v>
      </c>
      <c r="L179" s="5">
        <v>240939.0</v>
      </c>
      <c r="M179" s="5">
        <v>201543.0</v>
      </c>
      <c r="N179" s="5">
        <v>181146.0</v>
      </c>
      <c r="O179" s="5">
        <v>147038.0</v>
      </c>
      <c r="P179" s="5">
        <v>117744.0</v>
      </c>
      <c r="Q179" s="5">
        <v>81361.0</v>
      </c>
      <c r="R179" s="5">
        <v>53755.0</v>
      </c>
      <c r="S179" s="5">
        <v>28678.0</v>
      </c>
      <c r="T179" s="5">
        <v>28754.0</v>
      </c>
      <c r="U179" s="5">
        <v>1868036.0</v>
      </c>
      <c r="V179" s="5">
        <v>179855.0</v>
      </c>
      <c r="W179" s="5">
        <v>187438.0</v>
      </c>
      <c r="X179" s="5">
        <v>187307.0</v>
      </c>
      <c r="Y179" s="5">
        <v>174968.0</v>
      </c>
      <c r="Z179" s="5">
        <v>178062.0</v>
      </c>
      <c r="AA179" s="5">
        <v>164032.0</v>
      </c>
      <c r="AB179" s="5">
        <v>143302.0</v>
      </c>
      <c r="AC179" s="5">
        <v>130319.0</v>
      </c>
      <c r="AD179" s="5">
        <v>122074.0</v>
      </c>
      <c r="AE179" s="5">
        <v>101741.0</v>
      </c>
      <c r="AF179" s="5">
        <v>90214.0</v>
      </c>
      <c r="AG179" s="5">
        <v>72369.0</v>
      </c>
      <c r="AH179" s="5">
        <v>56238.0</v>
      </c>
      <c r="AI179" s="5">
        <v>37366.0</v>
      </c>
      <c r="AJ179" s="5">
        <v>22677.0</v>
      </c>
      <c r="AK179" s="5">
        <v>10980.0</v>
      </c>
      <c r="AL179" s="5">
        <v>9094.0</v>
      </c>
      <c r="AM179" s="5">
        <v>1828901.0</v>
      </c>
      <c r="AN179" s="5">
        <v>166389.0</v>
      </c>
      <c r="AO179" s="5">
        <v>171191.0</v>
      </c>
      <c r="AP179" s="5">
        <v>174702.0</v>
      </c>
      <c r="AQ179" s="5">
        <v>166404.0</v>
      </c>
      <c r="AR179" s="5">
        <v>170410.0</v>
      </c>
      <c r="AS179" s="5">
        <v>156055.0</v>
      </c>
      <c r="AT179" s="5">
        <v>137616.0</v>
      </c>
      <c r="AU179" s="5">
        <v>127929.0</v>
      </c>
      <c r="AV179" s="5">
        <v>118865.0</v>
      </c>
      <c r="AW179" s="5">
        <v>99802.0</v>
      </c>
      <c r="AX179" s="5">
        <v>90932.0</v>
      </c>
      <c r="AY179" s="5">
        <v>74669.0</v>
      </c>
      <c r="AZ179" s="5">
        <v>61506.0</v>
      </c>
      <c r="BA179" s="5">
        <v>43995.0</v>
      </c>
      <c r="BB179" s="5">
        <v>31078.0</v>
      </c>
      <c r="BC179" s="5">
        <v>17698.0</v>
      </c>
      <c r="BD179" s="5">
        <v>19660.0</v>
      </c>
      <c r="BE179" s="4"/>
      <c r="BF179" s="4"/>
      <c r="BG179" s="4"/>
      <c r="BH179" s="4"/>
      <c r="BI179" s="4"/>
      <c r="BJ179" s="4"/>
    </row>
    <row r="180">
      <c r="A180" s="5"/>
      <c r="B180" s="5" t="s">
        <v>136</v>
      </c>
      <c r="C180" s="5">
        <v>2306751.0</v>
      </c>
      <c r="D180" s="5">
        <v>222523.0</v>
      </c>
      <c r="E180" s="5">
        <v>227574.0</v>
      </c>
      <c r="F180" s="5">
        <v>228527.0</v>
      </c>
      <c r="G180" s="5">
        <v>212279.0</v>
      </c>
      <c r="H180" s="5">
        <v>204790.0</v>
      </c>
      <c r="I180" s="5">
        <v>191183.0</v>
      </c>
      <c r="J180" s="5">
        <v>167704.0</v>
      </c>
      <c r="K180" s="5">
        <v>153695.0</v>
      </c>
      <c r="L180" s="5">
        <v>143212.0</v>
      </c>
      <c r="M180" s="5">
        <v>125639.0</v>
      </c>
      <c r="N180" s="5">
        <v>116481.0</v>
      </c>
      <c r="O180" s="5">
        <v>96819.0</v>
      </c>
      <c r="P180" s="5">
        <v>78351.0</v>
      </c>
      <c r="Q180" s="5">
        <v>54939.0</v>
      </c>
      <c r="R180" s="5">
        <v>36921.0</v>
      </c>
      <c r="S180" s="5">
        <v>22741.0</v>
      </c>
      <c r="T180" s="5">
        <v>23373.0</v>
      </c>
      <c r="U180" s="5">
        <v>1169247.0</v>
      </c>
      <c r="V180" s="5">
        <v>114947.0</v>
      </c>
      <c r="W180" s="5">
        <v>118661.0</v>
      </c>
      <c r="X180" s="5">
        <v>118680.0</v>
      </c>
      <c r="Y180" s="5">
        <v>109062.0</v>
      </c>
      <c r="Z180" s="5">
        <v>104966.0</v>
      </c>
      <c r="AA180" s="5">
        <v>97757.0</v>
      </c>
      <c r="AB180" s="5">
        <v>85652.0</v>
      </c>
      <c r="AC180" s="5">
        <v>77967.0</v>
      </c>
      <c r="AD180" s="5">
        <v>73275.0</v>
      </c>
      <c r="AE180" s="5">
        <v>64120.0</v>
      </c>
      <c r="AF180" s="5">
        <v>59148.0</v>
      </c>
      <c r="AG180" s="5">
        <v>48655.0</v>
      </c>
      <c r="AH180" s="5">
        <v>38419.0</v>
      </c>
      <c r="AI180" s="5">
        <v>25882.0</v>
      </c>
      <c r="AJ180" s="5">
        <v>15869.0</v>
      </c>
      <c r="AK180" s="5">
        <v>8840.0</v>
      </c>
      <c r="AL180" s="5">
        <v>7347.0</v>
      </c>
      <c r="AM180" s="5">
        <v>1137504.0</v>
      </c>
      <c r="AN180" s="5">
        <v>107576.0</v>
      </c>
      <c r="AO180" s="5">
        <v>108913.0</v>
      </c>
      <c r="AP180" s="5">
        <v>109847.0</v>
      </c>
      <c r="AQ180" s="5">
        <v>103217.0</v>
      </c>
      <c r="AR180" s="5">
        <v>99824.0</v>
      </c>
      <c r="AS180" s="5">
        <v>93426.0</v>
      </c>
      <c r="AT180" s="5">
        <v>82052.0</v>
      </c>
      <c r="AU180" s="5">
        <v>75728.0</v>
      </c>
      <c r="AV180" s="5">
        <v>69937.0</v>
      </c>
      <c r="AW180" s="5">
        <v>61519.0</v>
      </c>
      <c r="AX180" s="5">
        <v>57333.0</v>
      </c>
      <c r="AY180" s="5">
        <v>48164.0</v>
      </c>
      <c r="AZ180" s="5">
        <v>39932.0</v>
      </c>
      <c r="BA180" s="5">
        <v>29057.0</v>
      </c>
      <c r="BB180" s="5">
        <v>21052.0</v>
      </c>
      <c r="BC180" s="5">
        <v>13901.0</v>
      </c>
      <c r="BD180" s="5">
        <v>16026.0</v>
      </c>
      <c r="BE180" s="4"/>
      <c r="BF180" s="4"/>
      <c r="BG180" s="4"/>
      <c r="BH180" s="4"/>
      <c r="BI180" s="4"/>
      <c r="BJ180" s="4"/>
    </row>
    <row r="181">
      <c r="A181" s="5"/>
      <c r="B181" s="5" t="s">
        <v>137</v>
      </c>
      <c r="C181" s="5">
        <v>2433144.0</v>
      </c>
      <c r="D181" s="5">
        <v>230638.0</v>
      </c>
      <c r="E181" s="5">
        <v>229762.0</v>
      </c>
      <c r="F181" s="5">
        <v>234412.0</v>
      </c>
      <c r="G181" s="5">
        <v>230387.0</v>
      </c>
      <c r="H181" s="5">
        <v>233850.0</v>
      </c>
      <c r="I181" s="5">
        <v>210423.0</v>
      </c>
      <c r="J181" s="5">
        <v>185378.0</v>
      </c>
      <c r="K181" s="5">
        <v>165452.0</v>
      </c>
      <c r="L181" s="5">
        <v>154501.0</v>
      </c>
      <c r="M181" s="5">
        <v>131028.0</v>
      </c>
      <c r="N181" s="5">
        <v>120030.0</v>
      </c>
      <c r="O181" s="5">
        <v>95329.0</v>
      </c>
      <c r="P181" s="5">
        <v>77035.0</v>
      </c>
      <c r="Q181" s="5">
        <v>53968.0</v>
      </c>
      <c r="R181" s="5">
        <v>38718.0</v>
      </c>
      <c r="S181" s="5">
        <v>20771.0</v>
      </c>
      <c r="T181" s="5">
        <v>21462.0</v>
      </c>
      <c r="U181" s="5">
        <v>1236783.0</v>
      </c>
      <c r="V181" s="5">
        <v>119058.0</v>
      </c>
      <c r="W181" s="5">
        <v>119038.0</v>
      </c>
      <c r="X181" s="5">
        <v>121748.0</v>
      </c>
      <c r="Y181" s="5">
        <v>118602.0</v>
      </c>
      <c r="Z181" s="5">
        <v>119986.0</v>
      </c>
      <c r="AA181" s="5">
        <v>107589.0</v>
      </c>
      <c r="AB181" s="5">
        <v>94647.0</v>
      </c>
      <c r="AC181" s="5">
        <v>84027.0</v>
      </c>
      <c r="AD181" s="5">
        <v>78839.0</v>
      </c>
      <c r="AE181" s="5">
        <v>67221.0</v>
      </c>
      <c r="AF181" s="5">
        <v>60872.0</v>
      </c>
      <c r="AG181" s="5">
        <v>48170.0</v>
      </c>
      <c r="AH181" s="5">
        <v>38086.0</v>
      </c>
      <c r="AI181" s="5">
        <v>25662.0</v>
      </c>
      <c r="AJ181" s="5">
        <v>17391.0</v>
      </c>
      <c r="AK181" s="5">
        <v>8486.0</v>
      </c>
      <c r="AL181" s="5">
        <v>7361.0</v>
      </c>
      <c r="AM181" s="5">
        <v>1196361.0</v>
      </c>
      <c r="AN181" s="5">
        <v>111580.0</v>
      </c>
      <c r="AO181" s="5">
        <v>110724.0</v>
      </c>
      <c r="AP181" s="5">
        <v>112664.0</v>
      </c>
      <c r="AQ181" s="5">
        <v>111785.0</v>
      </c>
      <c r="AR181" s="5">
        <v>113864.0</v>
      </c>
      <c r="AS181" s="5">
        <v>102834.0</v>
      </c>
      <c r="AT181" s="5">
        <v>90731.0</v>
      </c>
      <c r="AU181" s="5">
        <v>81425.0</v>
      </c>
      <c r="AV181" s="5">
        <v>75662.0</v>
      </c>
      <c r="AW181" s="5">
        <v>63807.0</v>
      </c>
      <c r="AX181" s="5">
        <v>59158.0</v>
      </c>
      <c r="AY181" s="5">
        <v>47159.0</v>
      </c>
      <c r="AZ181" s="5">
        <v>38949.0</v>
      </c>
      <c r="BA181" s="5">
        <v>28306.0</v>
      </c>
      <c r="BB181" s="5">
        <v>21327.0</v>
      </c>
      <c r="BC181" s="5">
        <v>12285.0</v>
      </c>
      <c r="BD181" s="5">
        <v>14101.0</v>
      </c>
      <c r="BE181" s="4"/>
      <c r="BF181" s="4"/>
      <c r="BG181" s="4"/>
      <c r="BH181" s="4"/>
      <c r="BI181" s="4"/>
      <c r="BJ181" s="4"/>
    </row>
    <row r="182">
      <c r="A182" s="5"/>
      <c r="B182" s="5" t="s">
        <v>138</v>
      </c>
      <c r="C182" s="5">
        <v>1499064.0</v>
      </c>
      <c r="D182" s="5">
        <v>147415.0</v>
      </c>
      <c r="E182" s="5">
        <v>152140.0</v>
      </c>
      <c r="F182" s="5">
        <v>152327.0</v>
      </c>
      <c r="G182" s="5">
        <v>139744.0</v>
      </c>
      <c r="H182" s="5">
        <v>132584.0</v>
      </c>
      <c r="I182" s="5">
        <v>121083.0</v>
      </c>
      <c r="J182" s="5">
        <v>108007.0</v>
      </c>
      <c r="K182" s="5">
        <v>97941.0</v>
      </c>
      <c r="L182" s="5">
        <v>90534.0</v>
      </c>
      <c r="M182" s="5">
        <v>80601.0</v>
      </c>
      <c r="N182" s="5">
        <v>73351.0</v>
      </c>
      <c r="O182" s="5">
        <v>60700.0</v>
      </c>
      <c r="P182" s="5">
        <v>49980.0</v>
      </c>
      <c r="Q182" s="5">
        <v>35911.0</v>
      </c>
      <c r="R182" s="5">
        <v>26129.0</v>
      </c>
      <c r="S182" s="5">
        <v>14879.0</v>
      </c>
      <c r="T182" s="5">
        <v>15738.0</v>
      </c>
      <c r="U182" s="5">
        <v>762437.0</v>
      </c>
      <c r="V182" s="5">
        <v>76227.0</v>
      </c>
      <c r="W182" s="5">
        <v>79487.0</v>
      </c>
      <c r="X182" s="5">
        <v>79108.0</v>
      </c>
      <c r="Y182" s="5">
        <v>72252.0</v>
      </c>
      <c r="Z182" s="5">
        <v>68336.0</v>
      </c>
      <c r="AA182" s="5">
        <v>62247.0</v>
      </c>
      <c r="AB182" s="5">
        <v>55219.0</v>
      </c>
      <c r="AC182" s="5">
        <v>49901.0</v>
      </c>
      <c r="AD182" s="5">
        <v>46407.0</v>
      </c>
      <c r="AE182" s="5">
        <v>41534.0</v>
      </c>
      <c r="AF182" s="5">
        <v>37126.0</v>
      </c>
      <c r="AG182" s="5">
        <v>30723.0</v>
      </c>
      <c r="AH182" s="5">
        <v>24637.0</v>
      </c>
      <c r="AI182" s="5">
        <v>16798.0</v>
      </c>
      <c r="AJ182" s="5">
        <v>11464.0</v>
      </c>
      <c r="AK182" s="5">
        <v>5873.0</v>
      </c>
      <c r="AL182" s="5">
        <v>5098.0</v>
      </c>
      <c r="AM182" s="5">
        <v>736627.0</v>
      </c>
      <c r="AN182" s="5">
        <v>71188.0</v>
      </c>
      <c r="AO182" s="5">
        <v>72653.0</v>
      </c>
      <c r="AP182" s="5">
        <v>73219.0</v>
      </c>
      <c r="AQ182" s="5">
        <v>67492.0</v>
      </c>
      <c r="AR182" s="5">
        <v>64248.0</v>
      </c>
      <c r="AS182" s="5">
        <v>58836.0</v>
      </c>
      <c r="AT182" s="5">
        <v>52788.0</v>
      </c>
      <c r="AU182" s="5">
        <v>48040.0</v>
      </c>
      <c r="AV182" s="5">
        <v>44127.0</v>
      </c>
      <c r="AW182" s="5">
        <v>39067.0</v>
      </c>
      <c r="AX182" s="5">
        <v>36225.0</v>
      </c>
      <c r="AY182" s="5">
        <v>29977.0</v>
      </c>
      <c r="AZ182" s="5">
        <v>25343.0</v>
      </c>
      <c r="BA182" s="5">
        <v>19113.0</v>
      </c>
      <c r="BB182" s="5">
        <v>14665.0</v>
      </c>
      <c r="BC182" s="5">
        <v>9006.0</v>
      </c>
      <c r="BD182" s="5">
        <v>10640.0</v>
      </c>
      <c r="BE182" s="4"/>
      <c r="BF182" s="4"/>
      <c r="BG182" s="4"/>
      <c r="BH182" s="4"/>
      <c r="BI182" s="4"/>
      <c r="BJ182" s="4"/>
    </row>
    <row r="183">
      <c r="A183" s="5"/>
      <c r="B183" s="5" t="s">
        <v>139</v>
      </c>
      <c r="C183" s="5">
        <v>647545.0</v>
      </c>
      <c r="D183" s="5">
        <v>59897.0</v>
      </c>
      <c r="E183" s="5">
        <v>65340.0</v>
      </c>
      <c r="F183" s="5">
        <v>65403.0</v>
      </c>
      <c r="G183" s="5">
        <v>61389.0</v>
      </c>
      <c r="H183" s="5">
        <v>56788.0</v>
      </c>
      <c r="I183" s="5">
        <v>50893.0</v>
      </c>
      <c r="J183" s="5">
        <v>48043.0</v>
      </c>
      <c r="K183" s="5">
        <v>43145.0</v>
      </c>
      <c r="L183" s="5">
        <v>38306.0</v>
      </c>
      <c r="M183" s="5">
        <v>34124.0</v>
      </c>
      <c r="N183" s="5">
        <v>32426.0</v>
      </c>
      <c r="O183" s="5">
        <v>27534.0</v>
      </c>
      <c r="P183" s="5">
        <v>22819.0</v>
      </c>
      <c r="Q183" s="5">
        <v>16451.0</v>
      </c>
      <c r="R183" s="5">
        <v>11761.0</v>
      </c>
      <c r="S183" s="5">
        <v>6276.0</v>
      </c>
      <c r="T183" s="5">
        <v>6950.0</v>
      </c>
      <c r="U183" s="5">
        <v>327966.0</v>
      </c>
      <c r="V183" s="5">
        <v>31191.0</v>
      </c>
      <c r="W183" s="5">
        <v>34052.0</v>
      </c>
      <c r="X183" s="5">
        <v>33629.0</v>
      </c>
      <c r="Y183" s="5">
        <v>31751.0</v>
      </c>
      <c r="Z183" s="5">
        <v>28970.0</v>
      </c>
      <c r="AA183" s="5">
        <v>26033.0</v>
      </c>
      <c r="AB183" s="5">
        <v>24559.0</v>
      </c>
      <c r="AC183" s="5">
        <v>21827.0</v>
      </c>
      <c r="AD183" s="5">
        <v>19515.0</v>
      </c>
      <c r="AE183" s="5">
        <v>17518.0</v>
      </c>
      <c r="AF183" s="5">
        <v>16435.0</v>
      </c>
      <c r="AG183" s="5">
        <v>13852.0</v>
      </c>
      <c r="AH183" s="5">
        <v>11235.0</v>
      </c>
      <c r="AI183" s="5">
        <v>7661.0</v>
      </c>
      <c r="AJ183" s="5">
        <v>5184.0</v>
      </c>
      <c r="AK183" s="5">
        <v>2419.0</v>
      </c>
      <c r="AL183" s="5">
        <v>2135.0</v>
      </c>
      <c r="AM183" s="5">
        <v>319579.0</v>
      </c>
      <c r="AN183" s="5">
        <v>28706.0</v>
      </c>
      <c r="AO183" s="5">
        <v>31288.0</v>
      </c>
      <c r="AP183" s="5">
        <v>31774.0</v>
      </c>
      <c r="AQ183" s="5">
        <v>29638.0</v>
      </c>
      <c r="AR183" s="5">
        <v>27818.0</v>
      </c>
      <c r="AS183" s="5">
        <v>24860.0</v>
      </c>
      <c r="AT183" s="5">
        <v>23484.0</v>
      </c>
      <c r="AU183" s="5">
        <v>21318.0</v>
      </c>
      <c r="AV183" s="5">
        <v>18791.0</v>
      </c>
      <c r="AW183" s="5">
        <v>16606.0</v>
      </c>
      <c r="AX183" s="5">
        <v>15991.0</v>
      </c>
      <c r="AY183" s="5">
        <v>13682.0</v>
      </c>
      <c r="AZ183" s="5">
        <v>11584.0</v>
      </c>
      <c r="BA183" s="5">
        <v>8790.0</v>
      </c>
      <c r="BB183" s="5">
        <v>6577.0</v>
      </c>
      <c r="BC183" s="5">
        <v>3857.0</v>
      </c>
      <c r="BD183" s="5">
        <v>4815.0</v>
      </c>
      <c r="BE183" s="4"/>
      <c r="BF183" s="4"/>
      <c r="BG183" s="4"/>
      <c r="BH183" s="4"/>
      <c r="BI183" s="4"/>
      <c r="BJ183" s="4"/>
    </row>
    <row r="184">
      <c r="A184" s="5"/>
      <c r="B184" s="5" t="s">
        <v>140</v>
      </c>
      <c r="C184" s="5">
        <v>461165.0</v>
      </c>
      <c r="D184" s="5">
        <v>49742.0</v>
      </c>
      <c r="E184" s="5">
        <v>45030.0</v>
      </c>
      <c r="F184" s="5">
        <v>42518.0</v>
      </c>
      <c r="G184" s="5">
        <v>41780.0</v>
      </c>
      <c r="H184" s="5">
        <v>47512.0</v>
      </c>
      <c r="I184" s="5">
        <v>45171.0</v>
      </c>
      <c r="J184" s="5">
        <v>38483.0</v>
      </c>
      <c r="K184" s="5">
        <v>32803.0</v>
      </c>
      <c r="L184" s="5">
        <v>28437.0</v>
      </c>
      <c r="M184" s="5">
        <v>22561.0</v>
      </c>
      <c r="N184" s="5">
        <v>19763.0</v>
      </c>
      <c r="O184" s="5">
        <v>15777.0</v>
      </c>
      <c r="P184" s="5">
        <v>12494.0</v>
      </c>
      <c r="Q184" s="5">
        <v>8192.0</v>
      </c>
      <c r="R184" s="5">
        <v>5516.0</v>
      </c>
      <c r="S184" s="5">
        <v>2683.0</v>
      </c>
      <c r="T184" s="5">
        <v>2703.0</v>
      </c>
      <c r="U184" s="5">
        <v>230182.0</v>
      </c>
      <c r="V184" s="5">
        <v>25374.0</v>
      </c>
      <c r="W184" s="5">
        <v>23287.0</v>
      </c>
      <c r="X184" s="5">
        <v>21956.0</v>
      </c>
      <c r="Y184" s="5">
        <v>21207.0</v>
      </c>
      <c r="Z184" s="5">
        <v>23441.0</v>
      </c>
      <c r="AA184" s="5">
        <v>21942.0</v>
      </c>
      <c r="AB184" s="5">
        <v>18902.0</v>
      </c>
      <c r="AC184" s="5">
        <v>16213.0</v>
      </c>
      <c r="AD184" s="5">
        <v>14291.0</v>
      </c>
      <c r="AE184" s="5">
        <v>11437.0</v>
      </c>
      <c r="AF184" s="5">
        <v>9756.0</v>
      </c>
      <c r="AG184" s="5">
        <v>7875.0</v>
      </c>
      <c r="AH184" s="5">
        <v>6101.0</v>
      </c>
      <c r="AI184" s="5">
        <v>3837.0</v>
      </c>
      <c r="AJ184" s="5">
        <v>2531.0</v>
      </c>
      <c r="AK184" s="5">
        <v>1107.0</v>
      </c>
      <c r="AL184" s="5">
        <v>925.0</v>
      </c>
      <c r="AM184" s="5">
        <v>230983.0</v>
      </c>
      <c r="AN184" s="5">
        <v>24368.0</v>
      </c>
      <c r="AO184" s="5">
        <v>21743.0</v>
      </c>
      <c r="AP184" s="5">
        <v>20562.0</v>
      </c>
      <c r="AQ184" s="5">
        <v>20573.0</v>
      </c>
      <c r="AR184" s="5">
        <v>24071.0</v>
      </c>
      <c r="AS184" s="5">
        <v>23229.0</v>
      </c>
      <c r="AT184" s="5">
        <v>19581.0</v>
      </c>
      <c r="AU184" s="5">
        <v>16590.0</v>
      </c>
      <c r="AV184" s="5">
        <v>14146.0</v>
      </c>
      <c r="AW184" s="5">
        <v>11124.0</v>
      </c>
      <c r="AX184" s="5">
        <v>10007.0</v>
      </c>
      <c r="AY184" s="5">
        <v>7902.0</v>
      </c>
      <c r="AZ184" s="5">
        <v>6393.0</v>
      </c>
      <c r="BA184" s="5">
        <v>4355.0</v>
      </c>
      <c r="BB184" s="5">
        <v>2985.0</v>
      </c>
      <c r="BC184" s="5">
        <v>1576.0</v>
      </c>
      <c r="BD184" s="5">
        <v>1778.0</v>
      </c>
      <c r="BE184" s="4"/>
      <c r="BF184" s="4"/>
      <c r="BG184" s="4"/>
      <c r="BH184" s="4"/>
      <c r="BI184" s="4"/>
      <c r="BJ184" s="4"/>
    </row>
    <row r="185">
      <c r="A185" s="5"/>
      <c r="B185" s="5" t="s">
        <v>141</v>
      </c>
      <c r="C185" s="5">
        <v>258639.0</v>
      </c>
      <c r="D185" s="5">
        <v>22688.0</v>
      </c>
      <c r="E185" s="5">
        <v>23033.0</v>
      </c>
      <c r="F185" s="5">
        <v>23114.0</v>
      </c>
      <c r="G185" s="5">
        <v>24169.0</v>
      </c>
      <c r="H185" s="5">
        <v>26931.0</v>
      </c>
      <c r="I185" s="5">
        <v>23926.0</v>
      </c>
      <c r="J185" s="5">
        <v>20970.0</v>
      </c>
      <c r="K185" s="5">
        <v>17401.0</v>
      </c>
      <c r="L185" s="5">
        <v>15660.0</v>
      </c>
      <c r="M185" s="5">
        <v>14163.0</v>
      </c>
      <c r="N185" s="5">
        <v>12687.0</v>
      </c>
      <c r="O185" s="5">
        <v>10545.0</v>
      </c>
      <c r="P185" s="5">
        <v>8299.0</v>
      </c>
      <c r="Q185" s="5">
        <v>6192.0</v>
      </c>
      <c r="R185" s="5">
        <v>4418.0</v>
      </c>
      <c r="S185" s="5">
        <v>2268.0</v>
      </c>
      <c r="T185" s="5">
        <v>2175.0</v>
      </c>
      <c r="U185" s="5">
        <v>128635.0</v>
      </c>
      <c r="V185" s="5">
        <v>11815.0</v>
      </c>
      <c r="W185" s="5">
        <v>11909.0</v>
      </c>
      <c r="X185" s="5">
        <v>11896.0</v>
      </c>
      <c r="Y185" s="5">
        <v>12422.0</v>
      </c>
      <c r="Z185" s="5">
        <v>13639.0</v>
      </c>
      <c r="AA185" s="5">
        <v>12040.0</v>
      </c>
      <c r="AB185" s="5">
        <v>10560.0</v>
      </c>
      <c r="AC185" s="5">
        <v>8541.0</v>
      </c>
      <c r="AD185" s="5">
        <v>7681.0</v>
      </c>
      <c r="AE185" s="5">
        <v>7100.0</v>
      </c>
      <c r="AF185" s="5">
        <v>6238.0</v>
      </c>
      <c r="AG185" s="5">
        <v>5015.0</v>
      </c>
      <c r="AH185" s="5">
        <v>3885.0</v>
      </c>
      <c r="AI185" s="5">
        <v>2648.0</v>
      </c>
      <c r="AJ185" s="5">
        <v>1769.0</v>
      </c>
      <c r="AK185" s="5">
        <v>837.0</v>
      </c>
      <c r="AL185" s="5">
        <v>640.0</v>
      </c>
      <c r="AM185" s="5">
        <v>130004.0</v>
      </c>
      <c r="AN185" s="5">
        <v>10873.0</v>
      </c>
      <c r="AO185" s="5">
        <v>11124.0</v>
      </c>
      <c r="AP185" s="5">
        <v>11218.0</v>
      </c>
      <c r="AQ185" s="5">
        <v>11747.0</v>
      </c>
      <c r="AR185" s="5">
        <v>13292.0</v>
      </c>
      <c r="AS185" s="5">
        <v>11886.0</v>
      </c>
      <c r="AT185" s="5">
        <v>10410.0</v>
      </c>
      <c r="AU185" s="5">
        <v>8860.0</v>
      </c>
      <c r="AV185" s="5">
        <v>7979.0</v>
      </c>
      <c r="AW185" s="5">
        <v>7063.0</v>
      </c>
      <c r="AX185" s="5">
        <v>6449.0</v>
      </c>
      <c r="AY185" s="5">
        <v>5530.0</v>
      </c>
      <c r="AZ185" s="5">
        <v>4414.0</v>
      </c>
      <c r="BA185" s="5">
        <v>3544.0</v>
      </c>
      <c r="BB185" s="5">
        <v>2649.0</v>
      </c>
      <c r="BC185" s="5">
        <v>1431.0</v>
      </c>
      <c r="BD185" s="5">
        <v>1535.0</v>
      </c>
      <c r="BE185" s="4"/>
      <c r="BF185" s="4"/>
      <c r="BG185" s="4"/>
      <c r="BH185" s="4"/>
      <c r="BI185" s="4"/>
      <c r="BJ185" s="4"/>
    </row>
    <row r="186">
      <c r="A186" s="5"/>
      <c r="B186" s="5" t="s">
        <v>142</v>
      </c>
      <c r="C186" s="5">
        <v>1.613977E7</v>
      </c>
      <c r="D186" s="5">
        <v>1553093.0</v>
      </c>
      <c r="E186" s="5">
        <v>1571650.0</v>
      </c>
      <c r="F186" s="5">
        <v>1547516.0</v>
      </c>
      <c r="G186" s="5">
        <v>1470129.0</v>
      </c>
      <c r="H186" s="5">
        <v>1503117.0</v>
      </c>
      <c r="I186" s="5">
        <v>1425154.0</v>
      </c>
      <c r="J186" s="5">
        <v>1292281.0</v>
      </c>
      <c r="K186" s="5">
        <v>1177132.0</v>
      </c>
      <c r="L186" s="5">
        <v>1060941.0</v>
      </c>
      <c r="M186" s="5">
        <v>869587.0</v>
      </c>
      <c r="N186" s="5">
        <v>757316.0</v>
      </c>
      <c r="O186" s="5">
        <v>618559.0</v>
      </c>
      <c r="P186" s="5">
        <v>499642.0</v>
      </c>
      <c r="Q186" s="5">
        <v>343916.0</v>
      </c>
      <c r="R186" s="5">
        <v>217354.0</v>
      </c>
      <c r="S186" s="5">
        <v>117635.0</v>
      </c>
      <c r="T186" s="5">
        <v>114748.0</v>
      </c>
      <c r="U186" s="5">
        <v>8113997.0</v>
      </c>
      <c r="V186" s="5">
        <v>802093.0</v>
      </c>
      <c r="W186" s="5">
        <v>816299.0</v>
      </c>
      <c r="X186" s="5">
        <v>800293.0</v>
      </c>
      <c r="Y186" s="5">
        <v>753831.0</v>
      </c>
      <c r="Z186" s="5">
        <v>764034.0</v>
      </c>
      <c r="AA186" s="5">
        <v>720390.0</v>
      </c>
      <c r="AB186" s="5">
        <v>656566.0</v>
      </c>
      <c r="AC186" s="5">
        <v>592020.0</v>
      </c>
      <c r="AD186" s="5">
        <v>534437.0</v>
      </c>
      <c r="AE186" s="5">
        <v>439265.0</v>
      </c>
      <c r="AF186" s="5">
        <v>375347.0</v>
      </c>
      <c r="AG186" s="5">
        <v>301261.0</v>
      </c>
      <c r="AH186" s="5">
        <v>236580.0</v>
      </c>
      <c r="AI186" s="5">
        <v>154720.0</v>
      </c>
      <c r="AJ186" s="5">
        <v>90027.0</v>
      </c>
      <c r="AK186" s="5">
        <v>42906.0</v>
      </c>
      <c r="AL186" s="5">
        <v>33928.0</v>
      </c>
      <c r="AM186" s="5">
        <v>8025773.0</v>
      </c>
      <c r="AN186" s="5">
        <v>751000.0</v>
      </c>
      <c r="AO186" s="5">
        <v>755351.0</v>
      </c>
      <c r="AP186" s="5">
        <v>747223.0</v>
      </c>
      <c r="AQ186" s="5">
        <v>716298.0</v>
      </c>
      <c r="AR186" s="5">
        <v>739083.0</v>
      </c>
      <c r="AS186" s="5">
        <v>704764.0</v>
      </c>
      <c r="AT186" s="5">
        <v>635715.0</v>
      </c>
      <c r="AU186" s="5">
        <v>585112.0</v>
      </c>
      <c r="AV186" s="5">
        <v>526504.0</v>
      </c>
      <c r="AW186" s="5">
        <v>430322.0</v>
      </c>
      <c r="AX186" s="5">
        <v>381969.0</v>
      </c>
      <c r="AY186" s="5">
        <v>317298.0</v>
      </c>
      <c r="AZ186" s="5">
        <v>263062.0</v>
      </c>
      <c r="BA186" s="5">
        <v>189196.0</v>
      </c>
      <c r="BB186" s="5">
        <v>127327.0</v>
      </c>
      <c r="BC186" s="5">
        <v>74729.0</v>
      </c>
      <c r="BD186" s="5">
        <v>80820.0</v>
      </c>
      <c r="BE186" s="4"/>
      <c r="BF186" s="4"/>
      <c r="BG186" s="4"/>
      <c r="BH186" s="4"/>
      <c r="BI186" s="4"/>
      <c r="BJ186" s="4"/>
    </row>
    <row r="187">
      <c r="A187" s="5"/>
      <c r="B187" s="5" t="s">
        <v>143</v>
      </c>
      <c r="C187" s="5">
        <v>2902855.0</v>
      </c>
      <c r="D187" s="5">
        <v>275880.0</v>
      </c>
      <c r="E187" s="5">
        <v>275394.0</v>
      </c>
      <c r="F187" s="5">
        <v>274015.0</v>
      </c>
      <c r="G187" s="5">
        <v>272447.0</v>
      </c>
      <c r="H187" s="5">
        <v>277566.0</v>
      </c>
      <c r="I187" s="5">
        <v>257367.0</v>
      </c>
      <c r="J187" s="5">
        <v>221474.0</v>
      </c>
      <c r="K187" s="5">
        <v>205178.0</v>
      </c>
      <c r="L187" s="5">
        <v>185228.0</v>
      </c>
      <c r="M187" s="5">
        <v>156038.0</v>
      </c>
      <c r="N187" s="5">
        <v>136396.0</v>
      </c>
      <c r="O187" s="5">
        <v>109209.0</v>
      </c>
      <c r="P187" s="5">
        <v>90319.0</v>
      </c>
      <c r="Q187" s="5">
        <v>66000.0</v>
      </c>
      <c r="R187" s="5">
        <v>45943.0</v>
      </c>
      <c r="S187" s="5">
        <v>26315.0</v>
      </c>
      <c r="T187" s="5">
        <v>28086.0</v>
      </c>
      <c r="U187" s="5">
        <v>1459795.0</v>
      </c>
      <c r="V187" s="5">
        <v>143016.0</v>
      </c>
      <c r="W187" s="5">
        <v>143832.0</v>
      </c>
      <c r="X187" s="5">
        <v>142327.0</v>
      </c>
      <c r="Y187" s="5">
        <v>140241.0</v>
      </c>
      <c r="Z187" s="5">
        <v>141368.0</v>
      </c>
      <c r="AA187" s="5">
        <v>130025.0</v>
      </c>
      <c r="AB187" s="5">
        <v>112325.0</v>
      </c>
      <c r="AC187" s="5">
        <v>103200.0</v>
      </c>
      <c r="AD187" s="5">
        <v>93891.0</v>
      </c>
      <c r="AE187" s="5">
        <v>79031.0</v>
      </c>
      <c r="AF187" s="5">
        <v>68192.0</v>
      </c>
      <c r="AG187" s="5">
        <v>53874.0</v>
      </c>
      <c r="AH187" s="5">
        <v>43131.0</v>
      </c>
      <c r="AI187" s="5">
        <v>29411.0</v>
      </c>
      <c r="AJ187" s="5">
        <v>18445.0</v>
      </c>
      <c r="AK187" s="5">
        <v>9311.0</v>
      </c>
      <c r="AL187" s="5">
        <v>8175.0</v>
      </c>
      <c r="AM187" s="5">
        <v>1443060.0</v>
      </c>
      <c r="AN187" s="5">
        <v>132864.0</v>
      </c>
      <c r="AO187" s="5">
        <v>131562.0</v>
      </c>
      <c r="AP187" s="5">
        <v>131688.0</v>
      </c>
      <c r="AQ187" s="5">
        <v>132206.0</v>
      </c>
      <c r="AR187" s="5">
        <v>136198.0</v>
      </c>
      <c r="AS187" s="5">
        <v>127342.0</v>
      </c>
      <c r="AT187" s="5">
        <v>109149.0</v>
      </c>
      <c r="AU187" s="5">
        <v>101978.0</v>
      </c>
      <c r="AV187" s="5">
        <v>91337.0</v>
      </c>
      <c r="AW187" s="5">
        <v>77007.0</v>
      </c>
      <c r="AX187" s="5">
        <v>68204.0</v>
      </c>
      <c r="AY187" s="5">
        <v>55335.0</v>
      </c>
      <c r="AZ187" s="5">
        <v>47188.0</v>
      </c>
      <c r="BA187" s="5">
        <v>36589.0</v>
      </c>
      <c r="BB187" s="5">
        <v>27498.0</v>
      </c>
      <c r="BC187" s="5">
        <v>17004.0</v>
      </c>
      <c r="BD187" s="5">
        <v>19911.0</v>
      </c>
      <c r="BE187" s="4"/>
      <c r="BF187" s="4"/>
      <c r="BG187" s="4"/>
      <c r="BH187" s="4"/>
      <c r="BI187" s="4"/>
      <c r="BJ187" s="4"/>
    </row>
    <row r="188">
      <c r="A188" s="5"/>
      <c r="B188" s="5" t="s">
        <v>144</v>
      </c>
      <c r="C188" s="5">
        <v>4318663.0</v>
      </c>
      <c r="D188" s="5">
        <v>401577.0</v>
      </c>
      <c r="E188" s="5">
        <v>404744.0</v>
      </c>
      <c r="F188" s="5">
        <v>397632.0</v>
      </c>
      <c r="G188" s="5">
        <v>380078.0</v>
      </c>
      <c r="H188" s="5">
        <v>403532.0</v>
      </c>
      <c r="I188" s="5">
        <v>388502.0</v>
      </c>
      <c r="J188" s="5">
        <v>363847.0</v>
      </c>
      <c r="K188" s="5">
        <v>333006.0</v>
      </c>
      <c r="L188" s="5">
        <v>296898.0</v>
      </c>
      <c r="M188" s="5">
        <v>240076.0</v>
      </c>
      <c r="N188" s="5">
        <v>207111.0</v>
      </c>
      <c r="O188" s="5">
        <v>168196.0</v>
      </c>
      <c r="P188" s="5">
        <v>132179.0</v>
      </c>
      <c r="Q188" s="5">
        <v>87976.0</v>
      </c>
      <c r="R188" s="5">
        <v>55724.0</v>
      </c>
      <c r="S188" s="5">
        <v>28715.0</v>
      </c>
      <c r="T188" s="5">
        <v>28870.0</v>
      </c>
      <c r="U188" s="5">
        <v>2160830.0</v>
      </c>
      <c r="V188" s="5">
        <v>207692.0</v>
      </c>
      <c r="W188" s="5">
        <v>210400.0</v>
      </c>
      <c r="X188" s="5">
        <v>205658.0</v>
      </c>
      <c r="Y188" s="5">
        <v>194264.0</v>
      </c>
      <c r="Z188" s="5">
        <v>204168.0</v>
      </c>
      <c r="AA188" s="5">
        <v>196029.0</v>
      </c>
      <c r="AB188" s="5">
        <v>183749.0</v>
      </c>
      <c r="AC188" s="5">
        <v>166403.0</v>
      </c>
      <c r="AD188" s="5">
        <v>147703.0</v>
      </c>
      <c r="AE188" s="5">
        <v>119823.0</v>
      </c>
      <c r="AF188" s="5">
        <v>101244.0</v>
      </c>
      <c r="AG188" s="5">
        <v>80613.0</v>
      </c>
      <c r="AH188" s="5">
        <v>61490.0</v>
      </c>
      <c r="AI188" s="5">
        <v>39350.0</v>
      </c>
      <c r="AJ188" s="5">
        <v>23035.0</v>
      </c>
      <c r="AK188" s="5">
        <v>10534.0</v>
      </c>
      <c r="AL188" s="5">
        <v>8675.0</v>
      </c>
      <c r="AM188" s="5">
        <v>2157833.0</v>
      </c>
      <c r="AN188" s="5">
        <v>193885.0</v>
      </c>
      <c r="AO188" s="5">
        <v>194344.0</v>
      </c>
      <c r="AP188" s="5">
        <v>191974.0</v>
      </c>
      <c r="AQ188" s="5">
        <v>185814.0</v>
      </c>
      <c r="AR188" s="5">
        <v>199364.0</v>
      </c>
      <c r="AS188" s="5">
        <v>192473.0</v>
      </c>
      <c r="AT188" s="5">
        <v>180098.0</v>
      </c>
      <c r="AU188" s="5">
        <v>166603.0</v>
      </c>
      <c r="AV188" s="5">
        <v>149195.0</v>
      </c>
      <c r="AW188" s="5">
        <v>120253.0</v>
      </c>
      <c r="AX188" s="5">
        <v>105867.0</v>
      </c>
      <c r="AY188" s="5">
        <v>87583.0</v>
      </c>
      <c r="AZ188" s="5">
        <v>70689.0</v>
      </c>
      <c r="BA188" s="5">
        <v>48626.0</v>
      </c>
      <c r="BB188" s="5">
        <v>32689.0</v>
      </c>
      <c r="BC188" s="5">
        <v>18181.0</v>
      </c>
      <c r="BD188" s="5">
        <v>20195.0</v>
      </c>
      <c r="BE188" s="4"/>
      <c r="BF188" s="4"/>
      <c r="BG188" s="4"/>
      <c r="BH188" s="4"/>
      <c r="BI188" s="4"/>
      <c r="BJ188" s="4"/>
    </row>
    <row r="189">
      <c r="A189" s="5"/>
      <c r="B189" s="5" t="s">
        <v>145</v>
      </c>
      <c r="C189" s="5">
        <v>3373136.0</v>
      </c>
      <c r="D189" s="5">
        <v>312077.0</v>
      </c>
      <c r="E189" s="5">
        <v>316639.0</v>
      </c>
      <c r="F189" s="5">
        <v>309240.0</v>
      </c>
      <c r="G189" s="5">
        <v>290031.0</v>
      </c>
      <c r="H189" s="5">
        <v>318526.0</v>
      </c>
      <c r="I189" s="5">
        <v>320611.0</v>
      </c>
      <c r="J189" s="5">
        <v>287125.0</v>
      </c>
      <c r="K189" s="5">
        <v>258468.0</v>
      </c>
      <c r="L189" s="5">
        <v>230560.0</v>
      </c>
      <c r="M189" s="5">
        <v>181554.0</v>
      </c>
      <c r="N189" s="5">
        <v>156676.0</v>
      </c>
      <c r="O189" s="5">
        <v>128381.0</v>
      </c>
      <c r="P189" s="5">
        <v>104814.0</v>
      </c>
      <c r="Q189" s="5">
        <v>71865.0</v>
      </c>
      <c r="R189" s="5">
        <v>42925.0</v>
      </c>
      <c r="S189" s="5">
        <v>22563.0</v>
      </c>
      <c r="T189" s="5">
        <v>21081.0</v>
      </c>
      <c r="U189" s="5">
        <v>1692202.0</v>
      </c>
      <c r="V189" s="5">
        <v>161520.0</v>
      </c>
      <c r="W189" s="5">
        <v>164023.0</v>
      </c>
      <c r="X189" s="5">
        <v>160063.0</v>
      </c>
      <c r="Y189" s="5">
        <v>149221.0</v>
      </c>
      <c r="Z189" s="5">
        <v>161193.0</v>
      </c>
      <c r="AA189" s="5">
        <v>161350.0</v>
      </c>
      <c r="AB189" s="5">
        <v>146034.0</v>
      </c>
      <c r="AC189" s="5">
        <v>129600.0</v>
      </c>
      <c r="AD189" s="5">
        <v>115663.0</v>
      </c>
      <c r="AE189" s="5">
        <v>91800.0</v>
      </c>
      <c r="AF189" s="5">
        <v>77260.0</v>
      </c>
      <c r="AG189" s="5">
        <v>61354.0</v>
      </c>
      <c r="AH189" s="5">
        <v>49205.0</v>
      </c>
      <c r="AI189" s="5">
        <v>31981.0</v>
      </c>
      <c r="AJ189" s="5">
        <v>17753.0</v>
      </c>
      <c r="AK189" s="5">
        <v>8167.0</v>
      </c>
      <c r="AL189" s="5">
        <v>6015.0</v>
      </c>
      <c r="AM189" s="5">
        <v>1680934.0</v>
      </c>
      <c r="AN189" s="5">
        <v>150557.0</v>
      </c>
      <c r="AO189" s="5">
        <v>152616.0</v>
      </c>
      <c r="AP189" s="5">
        <v>149177.0</v>
      </c>
      <c r="AQ189" s="5">
        <v>140810.0</v>
      </c>
      <c r="AR189" s="5">
        <v>157333.0</v>
      </c>
      <c r="AS189" s="5">
        <v>159261.0</v>
      </c>
      <c r="AT189" s="5">
        <v>141091.0</v>
      </c>
      <c r="AU189" s="5">
        <v>128868.0</v>
      </c>
      <c r="AV189" s="5">
        <v>114897.0</v>
      </c>
      <c r="AW189" s="5">
        <v>89754.0</v>
      </c>
      <c r="AX189" s="5">
        <v>79416.0</v>
      </c>
      <c r="AY189" s="5">
        <v>67027.0</v>
      </c>
      <c r="AZ189" s="5">
        <v>55609.0</v>
      </c>
      <c r="BA189" s="5">
        <v>39884.0</v>
      </c>
      <c r="BB189" s="5">
        <v>25172.0</v>
      </c>
      <c r="BC189" s="5">
        <v>14396.0</v>
      </c>
      <c r="BD189" s="5">
        <v>15066.0</v>
      </c>
      <c r="BE189" s="4"/>
      <c r="BF189" s="4"/>
      <c r="BG189" s="4"/>
      <c r="BH189" s="4"/>
      <c r="BI189" s="4"/>
      <c r="BJ189" s="4"/>
    </row>
    <row r="190">
      <c r="A190" s="5"/>
      <c r="B190" s="5" t="s">
        <v>146</v>
      </c>
      <c r="C190" s="5">
        <v>1945444.0</v>
      </c>
      <c r="D190" s="5">
        <v>200888.0</v>
      </c>
      <c r="E190" s="5">
        <v>210448.0</v>
      </c>
      <c r="F190" s="5">
        <v>213163.0</v>
      </c>
      <c r="G190" s="5">
        <v>196338.0</v>
      </c>
      <c r="H190" s="5">
        <v>169814.0</v>
      </c>
      <c r="I190" s="5">
        <v>148037.0</v>
      </c>
      <c r="J190" s="5">
        <v>131709.0</v>
      </c>
      <c r="K190" s="5">
        <v>118877.0</v>
      </c>
      <c r="L190" s="5">
        <v>111356.0</v>
      </c>
      <c r="M190" s="5">
        <v>98943.0</v>
      </c>
      <c r="N190" s="5">
        <v>91951.0</v>
      </c>
      <c r="O190" s="5">
        <v>78587.0</v>
      </c>
      <c r="P190" s="5">
        <v>64989.0</v>
      </c>
      <c r="Q190" s="5">
        <v>46083.0</v>
      </c>
      <c r="R190" s="5">
        <v>29239.0</v>
      </c>
      <c r="S190" s="5">
        <v>17856.0</v>
      </c>
      <c r="T190" s="5">
        <v>17166.0</v>
      </c>
      <c r="U190" s="5">
        <v>988919.0</v>
      </c>
      <c r="V190" s="5">
        <v>103412.0</v>
      </c>
      <c r="W190" s="5">
        <v>109075.0</v>
      </c>
      <c r="X190" s="5">
        <v>109877.0</v>
      </c>
      <c r="Y190" s="5">
        <v>101089.0</v>
      </c>
      <c r="Z190" s="5">
        <v>87832.0</v>
      </c>
      <c r="AA190" s="5">
        <v>75770.0</v>
      </c>
      <c r="AB190" s="5">
        <v>67553.0</v>
      </c>
      <c r="AC190" s="5">
        <v>61124.0</v>
      </c>
      <c r="AD190" s="5">
        <v>57464.0</v>
      </c>
      <c r="AE190" s="5">
        <v>50972.0</v>
      </c>
      <c r="AF190" s="5">
        <v>46962.0</v>
      </c>
      <c r="AG190" s="5">
        <v>40051.0</v>
      </c>
      <c r="AH190" s="5">
        <v>32005.0</v>
      </c>
      <c r="AI190" s="5">
        <v>21607.0</v>
      </c>
      <c r="AJ190" s="5">
        <v>12399.0</v>
      </c>
      <c r="AK190" s="5">
        <v>6588.0</v>
      </c>
      <c r="AL190" s="5">
        <v>5139.0</v>
      </c>
      <c r="AM190" s="5">
        <v>956525.0</v>
      </c>
      <c r="AN190" s="5">
        <v>97476.0</v>
      </c>
      <c r="AO190" s="5">
        <v>101373.0</v>
      </c>
      <c r="AP190" s="5">
        <v>103286.0</v>
      </c>
      <c r="AQ190" s="5">
        <v>95249.0</v>
      </c>
      <c r="AR190" s="5">
        <v>81982.0</v>
      </c>
      <c r="AS190" s="5">
        <v>72267.0</v>
      </c>
      <c r="AT190" s="5">
        <v>64156.0</v>
      </c>
      <c r="AU190" s="5">
        <v>57753.0</v>
      </c>
      <c r="AV190" s="5">
        <v>53892.0</v>
      </c>
      <c r="AW190" s="5">
        <v>47971.0</v>
      </c>
      <c r="AX190" s="5">
        <v>44989.0</v>
      </c>
      <c r="AY190" s="5">
        <v>38536.0</v>
      </c>
      <c r="AZ190" s="5">
        <v>32984.0</v>
      </c>
      <c r="BA190" s="5">
        <v>24476.0</v>
      </c>
      <c r="BB190" s="5">
        <v>16840.0</v>
      </c>
      <c r="BC190" s="5">
        <v>11268.0</v>
      </c>
      <c r="BD190" s="5">
        <v>12027.0</v>
      </c>
      <c r="BE190" s="4"/>
      <c r="BF190" s="4"/>
      <c r="BG190" s="4"/>
      <c r="BH190" s="4"/>
      <c r="BI190" s="4"/>
      <c r="BJ190" s="4"/>
    </row>
    <row r="191">
      <c r="A191" s="5"/>
      <c r="B191" s="5" t="s">
        <v>147</v>
      </c>
      <c r="C191" s="5">
        <v>3321325.0</v>
      </c>
      <c r="D191" s="5">
        <v>332880.0</v>
      </c>
      <c r="E191" s="5">
        <v>335320.0</v>
      </c>
      <c r="F191" s="5">
        <v>324911.0</v>
      </c>
      <c r="G191" s="5">
        <v>304135.0</v>
      </c>
      <c r="H191" s="5">
        <v>306761.0</v>
      </c>
      <c r="I191" s="5">
        <v>287393.0</v>
      </c>
      <c r="J191" s="5">
        <v>268310.0</v>
      </c>
      <c r="K191" s="5">
        <v>243840.0</v>
      </c>
      <c r="L191" s="5">
        <v>220542.0</v>
      </c>
      <c r="M191" s="5">
        <v>179065.0</v>
      </c>
      <c r="N191" s="5">
        <v>152454.0</v>
      </c>
      <c r="O191" s="5">
        <v>123430.0</v>
      </c>
      <c r="P191" s="5">
        <v>98761.0</v>
      </c>
      <c r="Q191" s="5">
        <v>65929.0</v>
      </c>
      <c r="R191" s="5">
        <v>39858.0</v>
      </c>
      <c r="S191" s="5">
        <v>20152.0</v>
      </c>
      <c r="T191" s="5">
        <v>17584.0</v>
      </c>
      <c r="U191" s="5">
        <v>1673108.0</v>
      </c>
      <c r="V191" s="5">
        <v>170988.0</v>
      </c>
      <c r="W191" s="5">
        <v>173980.0</v>
      </c>
      <c r="X191" s="5">
        <v>167721.0</v>
      </c>
      <c r="Y191" s="5">
        <v>155306.0</v>
      </c>
      <c r="Z191" s="5">
        <v>155785.0</v>
      </c>
      <c r="AA191" s="5">
        <v>145339.0</v>
      </c>
      <c r="AB191" s="5">
        <v>136918.0</v>
      </c>
      <c r="AC191" s="5">
        <v>122700.0</v>
      </c>
      <c r="AD191" s="5">
        <v>111531.0</v>
      </c>
      <c r="AE191" s="5">
        <v>90692.0</v>
      </c>
      <c r="AF191" s="5">
        <v>75565.0</v>
      </c>
      <c r="AG191" s="5">
        <v>60115.0</v>
      </c>
      <c r="AH191" s="5">
        <v>46720.0</v>
      </c>
      <c r="AI191" s="5">
        <v>29738.0</v>
      </c>
      <c r="AJ191" s="5">
        <v>16968.0</v>
      </c>
      <c r="AK191" s="5">
        <v>7631.0</v>
      </c>
      <c r="AL191" s="5">
        <v>5411.0</v>
      </c>
      <c r="AM191" s="5">
        <v>1648217.0</v>
      </c>
      <c r="AN191" s="5">
        <v>161892.0</v>
      </c>
      <c r="AO191" s="5">
        <v>161340.0</v>
      </c>
      <c r="AP191" s="5">
        <v>157190.0</v>
      </c>
      <c r="AQ191" s="5">
        <v>148829.0</v>
      </c>
      <c r="AR191" s="5">
        <v>150976.0</v>
      </c>
      <c r="AS191" s="5">
        <v>142054.0</v>
      </c>
      <c r="AT191" s="5">
        <v>131392.0</v>
      </c>
      <c r="AU191" s="5">
        <v>121140.0</v>
      </c>
      <c r="AV191" s="5">
        <v>109011.0</v>
      </c>
      <c r="AW191" s="5">
        <v>88373.0</v>
      </c>
      <c r="AX191" s="5">
        <v>76889.0</v>
      </c>
      <c r="AY191" s="5">
        <v>63315.0</v>
      </c>
      <c r="AZ191" s="5">
        <v>52041.0</v>
      </c>
      <c r="BA191" s="5">
        <v>36191.0</v>
      </c>
      <c r="BB191" s="5">
        <v>22890.0</v>
      </c>
      <c r="BC191" s="5">
        <v>12521.0</v>
      </c>
      <c r="BD191" s="5">
        <v>12173.0</v>
      </c>
      <c r="BE191" s="4"/>
      <c r="BF191" s="4"/>
      <c r="BG191" s="4"/>
      <c r="BH191" s="4"/>
      <c r="BI191" s="4"/>
      <c r="BJ191" s="4"/>
    </row>
    <row r="192">
      <c r="A192" s="5"/>
      <c r="B192" s="5" t="s">
        <v>148</v>
      </c>
      <c r="C192" s="5">
        <v>278347.0</v>
      </c>
      <c r="D192" s="5">
        <v>29791.0</v>
      </c>
      <c r="E192" s="5">
        <v>29105.0</v>
      </c>
      <c r="F192" s="5">
        <v>28555.0</v>
      </c>
      <c r="G192" s="5">
        <v>27100.0</v>
      </c>
      <c r="H192" s="5">
        <v>26918.0</v>
      </c>
      <c r="I192" s="5">
        <v>23244.0</v>
      </c>
      <c r="J192" s="5">
        <v>19816.0</v>
      </c>
      <c r="K192" s="5">
        <v>17763.0</v>
      </c>
      <c r="L192" s="5">
        <v>16357.0</v>
      </c>
      <c r="M192" s="5">
        <v>13911.0</v>
      </c>
      <c r="N192" s="5">
        <v>12728.0</v>
      </c>
      <c r="O192" s="5">
        <v>10756.0</v>
      </c>
      <c r="P192" s="5">
        <v>8580.0</v>
      </c>
      <c r="Q192" s="5">
        <v>6063.0</v>
      </c>
      <c r="R192" s="5">
        <v>3665.0</v>
      </c>
      <c r="S192" s="5">
        <v>2034.0</v>
      </c>
      <c r="T192" s="5">
        <v>1961.0</v>
      </c>
      <c r="U192" s="5">
        <v>139143.0</v>
      </c>
      <c r="V192" s="5">
        <v>15465.0</v>
      </c>
      <c r="W192" s="5">
        <v>14989.0</v>
      </c>
      <c r="X192" s="5">
        <v>14647.0</v>
      </c>
      <c r="Y192" s="5">
        <v>13710.0</v>
      </c>
      <c r="Z192" s="5">
        <v>13688.0</v>
      </c>
      <c r="AA192" s="5">
        <v>11877.0</v>
      </c>
      <c r="AB192" s="5">
        <v>9987.0</v>
      </c>
      <c r="AC192" s="5">
        <v>8993.0</v>
      </c>
      <c r="AD192" s="5">
        <v>8185.0</v>
      </c>
      <c r="AE192" s="5">
        <v>6947.0</v>
      </c>
      <c r="AF192" s="5">
        <v>6124.0</v>
      </c>
      <c r="AG192" s="5">
        <v>5254.0</v>
      </c>
      <c r="AH192" s="5">
        <v>4029.0</v>
      </c>
      <c r="AI192" s="5">
        <v>2633.0</v>
      </c>
      <c r="AJ192" s="5">
        <v>1427.0</v>
      </c>
      <c r="AK192" s="5">
        <v>675.0</v>
      </c>
      <c r="AL192" s="5">
        <v>513.0</v>
      </c>
      <c r="AM192" s="5">
        <v>139204.0</v>
      </c>
      <c r="AN192" s="5">
        <v>14326.0</v>
      </c>
      <c r="AO192" s="5">
        <v>14116.0</v>
      </c>
      <c r="AP192" s="5">
        <v>13908.0</v>
      </c>
      <c r="AQ192" s="5">
        <v>13390.0</v>
      </c>
      <c r="AR192" s="5">
        <v>13230.0</v>
      </c>
      <c r="AS192" s="5">
        <v>11367.0</v>
      </c>
      <c r="AT192" s="5">
        <v>9829.0</v>
      </c>
      <c r="AU192" s="5">
        <v>8770.0</v>
      </c>
      <c r="AV192" s="5">
        <v>8172.0</v>
      </c>
      <c r="AW192" s="5">
        <v>6964.0</v>
      </c>
      <c r="AX192" s="5">
        <v>6604.0</v>
      </c>
      <c r="AY192" s="5">
        <v>5502.0</v>
      </c>
      <c r="AZ192" s="5">
        <v>4551.0</v>
      </c>
      <c r="BA192" s="5">
        <v>3430.0</v>
      </c>
      <c r="BB192" s="5">
        <v>2238.0</v>
      </c>
      <c r="BC192" s="5">
        <v>1359.0</v>
      </c>
      <c r="BD192" s="5">
        <v>1448.0</v>
      </c>
      <c r="BE192" s="4"/>
      <c r="BF192" s="4"/>
      <c r="BG192" s="4"/>
      <c r="BH192" s="4"/>
      <c r="BI192" s="4"/>
      <c r="BJ192" s="4"/>
    </row>
    <row r="193">
      <c r="A193" s="5"/>
      <c r="B193" s="5" t="s">
        <v>149</v>
      </c>
      <c r="C193" s="5">
        <v>3212287.0</v>
      </c>
      <c r="D193" s="5">
        <v>331973.0</v>
      </c>
      <c r="E193" s="5">
        <v>356104.0</v>
      </c>
      <c r="F193" s="5">
        <v>357807.0</v>
      </c>
      <c r="G193" s="5">
        <v>338454.0</v>
      </c>
      <c r="H193" s="5">
        <v>293266.0</v>
      </c>
      <c r="I193" s="5">
        <v>251666.0</v>
      </c>
      <c r="J193" s="5">
        <v>218745.0</v>
      </c>
      <c r="K193" s="5">
        <v>198013.0</v>
      </c>
      <c r="L193" s="5">
        <v>178999.0</v>
      </c>
      <c r="M193" s="5">
        <v>158431.0</v>
      </c>
      <c r="N193" s="5">
        <v>139366.0</v>
      </c>
      <c r="O193" s="5">
        <v>117682.0</v>
      </c>
      <c r="P193" s="5">
        <v>97207.0</v>
      </c>
      <c r="Q193" s="5">
        <v>69501.0</v>
      </c>
      <c r="R193" s="5">
        <v>47198.0</v>
      </c>
      <c r="S193" s="5">
        <v>29041.0</v>
      </c>
      <c r="T193" s="5">
        <v>28834.0</v>
      </c>
      <c r="U193" s="5">
        <v>1638824.0</v>
      </c>
      <c r="V193" s="5">
        <v>171875.0</v>
      </c>
      <c r="W193" s="5">
        <v>184463.0</v>
      </c>
      <c r="X193" s="5">
        <v>185005.0</v>
      </c>
      <c r="Y193" s="5">
        <v>172855.0</v>
      </c>
      <c r="Z193" s="5">
        <v>150634.0</v>
      </c>
      <c r="AA193" s="5">
        <v>128144.0</v>
      </c>
      <c r="AB193" s="5">
        <v>112268.0</v>
      </c>
      <c r="AC193" s="5">
        <v>102361.0</v>
      </c>
      <c r="AD193" s="5">
        <v>93247.0</v>
      </c>
      <c r="AE193" s="5">
        <v>82495.0</v>
      </c>
      <c r="AF193" s="5">
        <v>71719.0</v>
      </c>
      <c r="AG193" s="5">
        <v>60104.0</v>
      </c>
      <c r="AH193" s="5">
        <v>48268.0</v>
      </c>
      <c r="AI193" s="5">
        <v>33211.0</v>
      </c>
      <c r="AJ193" s="5">
        <v>20872.0</v>
      </c>
      <c r="AK193" s="5">
        <v>11775.0</v>
      </c>
      <c r="AL193" s="5">
        <v>9528.0</v>
      </c>
      <c r="AM193" s="5">
        <v>1573463.0</v>
      </c>
      <c r="AN193" s="5">
        <v>160098.0</v>
      </c>
      <c r="AO193" s="5">
        <v>171641.0</v>
      </c>
      <c r="AP193" s="5">
        <v>172802.0</v>
      </c>
      <c r="AQ193" s="5">
        <v>165599.0</v>
      </c>
      <c r="AR193" s="5">
        <v>142632.0</v>
      </c>
      <c r="AS193" s="5">
        <v>123522.0</v>
      </c>
      <c r="AT193" s="5">
        <v>106477.0</v>
      </c>
      <c r="AU193" s="5">
        <v>95652.0</v>
      </c>
      <c r="AV193" s="5">
        <v>85752.0</v>
      </c>
      <c r="AW193" s="5">
        <v>75936.0</v>
      </c>
      <c r="AX193" s="5">
        <v>67647.0</v>
      </c>
      <c r="AY193" s="5">
        <v>57578.0</v>
      </c>
      <c r="AZ193" s="5">
        <v>48939.0</v>
      </c>
      <c r="BA193" s="5">
        <v>36290.0</v>
      </c>
      <c r="BB193" s="5">
        <v>26326.0</v>
      </c>
      <c r="BC193" s="5">
        <v>17266.0</v>
      </c>
      <c r="BD193" s="5">
        <v>19306.0</v>
      </c>
      <c r="BE193" s="4"/>
      <c r="BF193" s="4"/>
      <c r="BG193" s="4"/>
      <c r="BH193" s="4"/>
      <c r="BI193" s="4"/>
      <c r="BJ193" s="4"/>
    </row>
    <row r="194">
      <c r="A194" s="5"/>
      <c r="B194" s="5" t="s">
        <v>150</v>
      </c>
      <c r="C194" s="5">
        <v>238830.0</v>
      </c>
      <c r="D194" s="5">
        <v>23480.0</v>
      </c>
      <c r="E194" s="5">
        <v>24755.0</v>
      </c>
      <c r="F194" s="5">
        <v>26108.0</v>
      </c>
      <c r="G194" s="5">
        <v>25028.0</v>
      </c>
      <c r="H194" s="5">
        <v>19016.0</v>
      </c>
      <c r="I194" s="5">
        <v>14942.0</v>
      </c>
      <c r="J194" s="5">
        <v>14174.0</v>
      </c>
      <c r="K194" s="5">
        <v>13428.0</v>
      </c>
      <c r="L194" s="5">
        <v>13654.0</v>
      </c>
      <c r="M194" s="5">
        <v>12431.0</v>
      </c>
      <c r="N194" s="5">
        <v>12166.0</v>
      </c>
      <c r="O194" s="5">
        <v>10321.0</v>
      </c>
      <c r="P194" s="5">
        <v>9583.0</v>
      </c>
      <c r="Q194" s="5">
        <v>7426.0</v>
      </c>
      <c r="R194" s="5">
        <v>5460.0</v>
      </c>
      <c r="S194" s="5">
        <v>3492.0</v>
      </c>
      <c r="T194" s="5">
        <v>3366.0</v>
      </c>
      <c r="U194" s="5">
        <v>120345.0</v>
      </c>
      <c r="V194" s="5">
        <v>12290.0</v>
      </c>
      <c r="W194" s="5">
        <v>12829.0</v>
      </c>
      <c r="X194" s="5">
        <v>13420.0</v>
      </c>
      <c r="Y194" s="5">
        <v>12884.0</v>
      </c>
      <c r="Z194" s="5">
        <v>10030.0</v>
      </c>
      <c r="AA194" s="5">
        <v>7622.0</v>
      </c>
      <c r="AB194" s="5">
        <v>7106.0</v>
      </c>
      <c r="AC194" s="5">
        <v>6823.0</v>
      </c>
      <c r="AD194" s="5">
        <v>6983.0</v>
      </c>
      <c r="AE194" s="5">
        <v>6362.0</v>
      </c>
      <c r="AF194" s="5">
        <v>6171.0</v>
      </c>
      <c r="AG194" s="5">
        <v>5091.0</v>
      </c>
      <c r="AH194" s="5">
        <v>4679.0</v>
      </c>
      <c r="AI194" s="5">
        <v>3434.0</v>
      </c>
      <c r="AJ194" s="5">
        <v>2353.0</v>
      </c>
      <c r="AK194" s="5">
        <v>1311.0</v>
      </c>
      <c r="AL194" s="5">
        <v>957.0</v>
      </c>
      <c r="AM194" s="5">
        <v>118485.0</v>
      </c>
      <c r="AN194" s="5">
        <v>11190.0</v>
      </c>
      <c r="AO194" s="5">
        <v>11926.0</v>
      </c>
      <c r="AP194" s="5">
        <v>12688.0</v>
      </c>
      <c r="AQ194" s="5">
        <v>12144.0</v>
      </c>
      <c r="AR194" s="5">
        <v>8986.0</v>
      </c>
      <c r="AS194" s="5">
        <v>7320.0</v>
      </c>
      <c r="AT194" s="5">
        <v>7068.0</v>
      </c>
      <c r="AU194" s="5">
        <v>6605.0</v>
      </c>
      <c r="AV194" s="5">
        <v>6671.0</v>
      </c>
      <c r="AW194" s="5">
        <v>6069.0</v>
      </c>
      <c r="AX194" s="5">
        <v>5995.0</v>
      </c>
      <c r="AY194" s="5">
        <v>5230.0</v>
      </c>
      <c r="AZ194" s="5">
        <v>4904.0</v>
      </c>
      <c r="BA194" s="5">
        <v>3992.0</v>
      </c>
      <c r="BB194" s="5">
        <v>3107.0</v>
      </c>
      <c r="BC194" s="5">
        <v>2181.0</v>
      </c>
      <c r="BD194" s="5">
        <v>2409.0</v>
      </c>
      <c r="BE194" s="4"/>
      <c r="BF194" s="4"/>
      <c r="BG194" s="4"/>
      <c r="BH194" s="4"/>
      <c r="BI194" s="4"/>
      <c r="BJ194" s="4"/>
    </row>
    <row r="195">
      <c r="A195" s="5"/>
      <c r="B195" s="5" t="s">
        <v>151</v>
      </c>
      <c r="C195" s="5">
        <v>521444.0</v>
      </c>
      <c r="D195" s="5">
        <v>58027.0</v>
      </c>
      <c r="E195" s="5">
        <v>61101.0</v>
      </c>
      <c r="F195" s="5">
        <v>60328.0</v>
      </c>
      <c r="G195" s="5">
        <v>55561.0</v>
      </c>
      <c r="H195" s="5">
        <v>45682.0</v>
      </c>
      <c r="I195" s="5">
        <v>39153.0</v>
      </c>
      <c r="J195" s="5">
        <v>34362.0</v>
      </c>
      <c r="K195" s="5">
        <v>31855.0</v>
      </c>
      <c r="L195" s="5">
        <v>28835.0</v>
      </c>
      <c r="M195" s="5">
        <v>25779.0</v>
      </c>
      <c r="N195" s="5">
        <v>22235.0</v>
      </c>
      <c r="O195" s="5">
        <v>18187.0</v>
      </c>
      <c r="P195" s="5">
        <v>14630.0</v>
      </c>
      <c r="Q195" s="5">
        <v>10292.0</v>
      </c>
      <c r="R195" s="5">
        <v>7172.0</v>
      </c>
      <c r="S195" s="5">
        <v>4131.0</v>
      </c>
      <c r="T195" s="5">
        <v>4114.0</v>
      </c>
      <c r="U195" s="5">
        <v>267744.0</v>
      </c>
      <c r="V195" s="5">
        <v>30098.0</v>
      </c>
      <c r="W195" s="5">
        <v>31779.0</v>
      </c>
      <c r="X195" s="5">
        <v>31434.0</v>
      </c>
      <c r="Y195" s="5">
        <v>28443.0</v>
      </c>
      <c r="Z195" s="5">
        <v>23487.0</v>
      </c>
      <c r="AA195" s="5">
        <v>19971.0</v>
      </c>
      <c r="AB195" s="5">
        <v>17844.0</v>
      </c>
      <c r="AC195" s="5">
        <v>16507.0</v>
      </c>
      <c r="AD195" s="5">
        <v>15121.0</v>
      </c>
      <c r="AE195" s="5">
        <v>13414.0</v>
      </c>
      <c r="AF195" s="5">
        <v>11476.0</v>
      </c>
      <c r="AG195" s="5">
        <v>9425.0</v>
      </c>
      <c r="AH195" s="5">
        <v>7319.0</v>
      </c>
      <c r="AI195" s="5">
        <v>4957.0</v>
      </c>
      <c r="AJ195" s="5">
        <v>3218.0</v>
      </c>
      <c r="AK195" s="5">
        <v>1779.0</v>
      </c>
      <c r="AL195" s="5">
        <v>1472.0</v>
      </c>
      <c r="AM195" s="5">
        <v>253700.0</v>
      </c>
      <c r="AN195" s="5">
        <v>27929.0</v>
      </c>
      <c r="AO195" s="5">
        <v>29322.0</v>
      </c>
      <c r="AP195" s="5">
        <v>28894.0</v>
      </c>
      <c r="AQ195" s="5">
        <v>27118.0</v>
      </c>
      <c r="AR195" s="5">
        <v>22195.0</v>
      </c>
      <c r="AS195" s="5">
        <v>19182.0</v>
      </c>
      <c r="AT195" s="5">
        <v>16518.0</v>
      </c>
      <c r="AU195" s="5">
        <v>15348.0</v>
      </c>
      <c r="AV195" s="5">
        <v>13714.0</v>
      </c>
      <c r="AW195" s="5">
        <v>12365.0</v>
      </c>
      <c r="AX195" s="5">
        <v>10759.0</v>
      </c>
      <c r="AY195" s="5">
        <v>8762.0</v>
      </c>
      <c r="AZ195" s="5">
        <v>7311.0</v>
      </c>
      <c r="BA195" s="5">
        <v>5335.0</v>
      </c>
      <c r="BB195" s="5">
        <v>3954.0</v>
      </c>
      <c r="BC195" s="5">
        <v>2352.0</v>
      </c>
      <c r="BD195" s="5">
        <v>2642.0</v>
      </c>
      <c r="BE195" s="4"/>
      <c r="BF195" s="4"/>
      <c r="BG195" s="4"/>
      <c r="BH195" s="4"/>
      <c r="BI195" s="4"/>
      <c r="BJ195" s="4"/>
    </row>
    <row r="196">
      <c r="A196" s="5"/>
      <c r="B196" s="5" t="s">
        <v>152</v>
      </c>
      <c r="C196" s="5">
        <v>906661.0</v>
      </c>
      <c r="D196" s="5">
        <v>92526.0</v>
      </c>
      <c r="E196" s="5">
        <v>98117.0</v>
      </c>
      <c r="F196" s="5">
        <v>99767.0</v>
      </c>
      <c r="G196" s="5">
        <v>93494.0</v>
      </c>
      <c r="H196" s="5">
        <v>80010.0</v>
      </c>
      <c r="I196" s="5">
        <v>70952.0</v>
      </c>
      <c r="J196" s="5">
        <v>62794.0</v>
      </c>
      <c r="K196" s="5">
        <v>56654.0</v>
      </c>
      <c r="L196" s="5">
        <v>52447.0</v>
      </c>
      <c r="M196" s="5">
        <v>46305.0</v>
      </c>
      <c r="N196" s="5">
        <v>40825.0</v>
      </c>
      <c r="O196" s="5">
        <v>34226.0</v>
      </c>
      <c r="P196" s="5">
        <v>28660.0</v>
      </c>
      <c r="Q196" s="5">
        <v>20400.0</v>
      </c>
      <c r="R196" s="5">
        <v>13525.0</v>
      </c>
      <c r="S196" s="5">
        <v>7881.0</v>
      </c>
      <c r="T196" s="5">
        <v>8078.0</v>
      </c>
      <c r="U196" s="5">
        <v>458903.0</v>
      </c>
      <c r="V196" s="5">
        <v>47829.0</v>
      </c>
      <c r="W196" s="5">
        <v>50999.0</v>
      </c>
      <c r="X196" s="5">
        <v>51307.0</v>
      </c>
      <c r="Y196" s="5">
        <v>47845.0</v>
      </c>
      <c r="Z196" s="5">
        <v>40859.0</v>
      </c>
      <c r="AA196" s="5">
        <v>35987.0</v>
      </c>
      <c r="AB196" s="5">
        <v>31775.0</v>
      </c>
      <c r="AC196" s="5">
        <v>29023.0</v>
      </c>
      <c r="AD196" s="5">
        <v>27027.0</v>
      </c>
      <c r="AE196" s="5">
        <v>23870.0</v>
      </c>
      <c r="AF196" s="5">
        <v>20764.0</v>
      </c>
      <c r="AG196" s="5">
        <v>17165.0</v>
      </c>
      <c r="AH196" s="5">
        <v>13889.0</v>
      </c>
      <c r="AI196" s="5">
        <v>9527.0</v>
      </c>
      <c r="AJ196" s="5">
        <v>5648.0</v>
      </c>
      <c r="AK196" s="5">
        <v>2934.0</v>
      </c>
      <c r="AL196" s="5">
        <v>2455.0</v>
      </c>
      <c r="AM196" s="5">
        <v>447758.0</v>
      </c>
      <c r="AN196" s="5">
        <v>44697.0</v>
      </c>
      <c r="AO196" s="5">
        <v>47118.0</v>
      </c>
      <c r="AP196" s="5">
        <v>48460.0</v>
      </c>
      <c r="AQ196" s="5">
        <v>45649.0</v>
      </c>
      <c r="AR196" s="5">
        <v>39151.0</v>
      </c>
      <c r="AS196" s="5">
        <v>34965.0</v>
      </c>
      <c r="AT196" s="5">
        <v>31019.0</v>
      </c>
      <c r="AU196" s="5">
        <v>27631.0</v>
      </c>
      <c r="AV196" s="5">
        <v>25420.0</v>
      </c>
      <c r="AW196" s="5">
        <v>22435.0</v>
      </c>
      <c r="AX196" s="5">
        <v>20061.0</v>
      </c>
      <c r="AY196" s="5">
        <v>17061.0</v>
      </c>
      <c r="AZ196" s="5">
        <v>14771.0</v>
      </c>
      <c r="BA196" s="5">
        <v>10873.0</v>
      </c>
      <c r="BB196" s="5">
        <v>7877.0</v>
      </c>
      <c r="BC196" s="5">
        <v>4947.0</v>
      </c>
      <c r="BD196" s="5">
        <v>5623.0</v>
      </c>
      <c r="BE196" s="4"/>
      <c r="BF196" s="4"/>
      <c r="BG196" s="4"/>
      <c r="BH196" s="4"/>
      <c r="BI196" s="4"/>
      <c r="BJ196" s="4"/>
    </row>
    <row r="197">
      <c r="A197" s="5"/>
      <c r="B197" s="5" t="s">
        <v>153</v>
      </c>
      <c r="C197" s="5">
        <v>934669.0</v>
      </c>
      <c r="D197" s="5">
        <v>102307.0</v>
      </c>
      <c r="E197" s="5">
        <v>111213.0</v>
      </c>
      <c r="F197" s="5">
        <v>107457.0</v>
      </c>
      <c r="G197" s="5">
        <v>99910.0</v>
      </c>
      <c r="H197" s="5">
        <v>88012.0</v>
      </c>
      <c r="I197" s="5">
        <v>75837.0</v>
      </c>
      <c r="J197" s="5">
        <v>64074.0</v>
      </c>
      <c r="K197" s="5">
        <v>57520.0</v>
      </c>
      <c r="L197" s="5">
        <v>49952.0</v>
      </c>
      <c r="M197" s="5">
        <v>43381.0</v>
      </c>
      <c r="N197" s="5">
        <v>36303.0</v>
      </c>
      <c r="O197" s="5">
        <v>30864.0</v>
      </c>
      <c r="P197" s="5">
        <v>24549.0</v>
      </c>
      <c r="Q197" s="5">
        <v>17559.0</v>
      </c>
      <c r="R197" s="5">
        <v>11716.0</v>
      </c>
      <c r="S197" s="5">
        <v>7201.0</v>
      </c>
      <c r="T197" s="5">
        <v>6814.0</v>
      </c>
      <c r="U197" s="5">
        <v>484231.0</v>
      </c>
      <c r="V197" s="5">
        <v>52977.0</v>
      </c>
      <c r="W197" s="5">
        <v>57247.0</v>
      </c>
      <c r="X197" s="5">
        <v>55567.0</v>
      </c>
      <c r="Y197" s="5">
        <v>51098.0</v>
      </c>
      <c r="Z197" s="5">
        <v>45641.0</v>
      </c>
      <c r="AA197" s="5">
        <v>39098.0</v>
      </c>
      <c r="AB197" s="5">
        <v>33355.0</v>
      </c>
      <c r="AC197" s="5">
        <v>30378.0</v>
      </c>
      <c r="AD197" s="5">
        <v>26672.0</v>
      </c>
      <c r="AE197" s="5">
        <v>23225.0</v>
      </c>
      <c r="AF197" s="5">
        <v>19342.0</v>
      </c>
      <c r="AG197" s="5">
        <v>16420.0</v>
      </c>
      <c r="AH197" s="5">
        <v>12645.0</v>
      </c>
      <c r="AI197" s="5">
        <v>8864.0</v>
      </c>
      <c r="AJ197" s="5">
        <v>5741.0</v>
      </c>
      <c r="AK197" s="5">
        <v>3295.0</v>
      </c>
      <c r="AL197" s="5">
        <v>2666.0</v>
      </c>
      <c r="AM197" s="5">
        <v>450438.0</v>
      </c>
      <c r="AN197" s="5">
        <v>49330.0</v>
      </c>
      <c r="AO197" s="5">
        <v>53966.0</v>
      </c>
      <c r="AP197" s="5">
        <v>51890.0</v>
      </c>
      <c r="AQ197" s="5">
        <v>48812.0</v>
      </c>
      <c r="AR197" s="5">
        <v>42371.0</v>
      </c>
      <c r="AS197" s="5">
        <v>36739.0</v>
      </c>
      <c r="AT197" s="5">
        <v>30719.0</v>
      </c>
      <c r="AU197" s="5">
        <v>27142.0</v>
      </c>
      <c r="AV197" s="5">
        <v>23280.0</v>
      </c>
      <c r="AW197" s="5">
        <v>20156.0</v>
      </c>
      <c r="AX197" s="5">
        <v>16961.0</v>
      </c>
      <c r="AY197" s="5">
        <v>14444.0</v>
      </c>
      <c r="AZ197" s="5">
        <v>11904.0</v>
      </c>
      <c r="BA197" s="5">
        <v>8695.0</v>
      </c>
      <c r="BB197" s="5">
        <v>5975.0</v>
      </c>
      <c r="BC197" s="5">
        <v>3906.0</v>
      </c>
      <c r="BD197" s="5">
        <v>4148.0</v>
      </c>
      <c r="BE197" s="4"/>
      <c r="BF197" s="4"/>
      <c r="BG197" s="4"/>
      <c r="BH197" s="4"/>
      <c r="BI197" s="4"/>
      <c r="BJ197" s="4"/>
    </row>
    <row r="198">
      <c r="A198" s="5"/>
      <c r="B198" s="5" t="s">
        <v>154</v>
      </c>
      <c r="C198" s="5">
        <v>308072.0</v>
      </c>
      <c r="D198" s="5">
        <v>27803.0</v>
      </c>
      <c r="E198" s="5">
        <v>32177.0</v>
      </c>
      <c r="F198" s="5">
        <v>34622.0</v>
      </c>
      <c r="G198" s="5">
        <v>33662.0</v>
      </c>
      <c r="H198" s="5">
        <v>27464.0</v>
      </c>
      <c r="I198" s="5">
        <v>21895.0</v>
      </c>
      <c r="J198" s="5">
        <v>19387.0</v>
      </c>
      <c r="K198" s="5">
        <v>17499.0</v>
      </c>
      <c r="L198" s="5">
        <v>16074.0</v>
      </c>
      <c r="M198" s="5">
        <v>15530.0</v>
      </c>
      <c r="N198" s="5">
        <v>14949.0</v>
      </c>
      <c r="O198" s="5">
        <v>13258.0</v>
      </c>
      <c r="P198" s="5">
        <v>11191.0</v>
      </c>
      <c r="Q198" s="5">
        <v>7889.0</v>
      </c>
      <c r="R198" s="5">
        <v>5742.0</v>
      </c>
      <c r="S198" s="5">
        <v>4407.0</v>
      </c>
      <c r="T198" s="5">
        <v>4523.0</v>
      </c>
      <c r="U198" s="5">
        <v>155723.0</v>
      </c>
      <c r="V198" s="5">
        <v>14320.0</v>
      </c>
      <c r="W198" s="5">
        <v>16736.0</v>
      </c>
      <c r="X198" s="5">
        <v>18027.0</v>
      </c>
      <c r="Y198" s="5">
        <v>17267.0</v>
      </c>
      <c r="Z198" s="5">
        <v>14433.0</v>
      </c>
      <c r="AA198" s="5">
        <v>11238.0</v>
      </c>
      <c r="AB198" s="5">
        <v>10026.0</v>
      </c>
      <c r="AC198" s="5">
        <v>8968.0</v>
      </c>
      <c r="AD198" s="5">
        <v>8342.0</v>
      </c>
      <c r="AE198" s="5">
        <v>8018.0</v>
      </c>
      <c r="AF198" s="5">
        <v>7606.0</v>
      </c>
      <c r="AG198" s="5">
        <v>6595.0</v>
      </c>
      <c r="AH198" s="5">
        <v>5470.0</v>
      </c>
      <c r="AI198" s="5">
        <v>3526.0</v>
      </c>
      <c r="AJ198" s="5">
        <v>2239.0</v>
      </c>
      <c r="AK198" s="5">
        <v>1641.0</v>
      </c>
      <c r="AL198" s="5">
        <v>1271.0</v>
      </c>
      <c r="AM198" s="5">
        <v>152349.0</v>
      </c>
      <c r="AN198" s="5">
        <v>13483.0</v>
      </c>
      <c r="AO198" s="5">
        <v>15441.0</v>
      </c>
      <c r="AP198" s="5">
        <v>16595.0</v>
      </c>
      <c r="AQ198" s="5">
        <v>16395.0</v>
      </c>
      <c r="AR198" s="5">
        <v>13031.0</v>
      </c>
      <c r="AS198" s="5">
        <v>10657.0</v>
      </c>
      <c r="AT198" s="5">
        <v>9361.0</v>
      </c>
      <c r="AU198" s="5">
        <v>8531.0</v>
      </c>
      <c r="AV198" s="5">
        <v>7732.0</v>
      </c>
      <c r="AW198" s="5">
        <v>7512.0</v>
      </c>
      <c r="AX198" s="5">
        <v>7343.0</v>
      </c>
      <c r="AY198" s="5">
        <v>6663.0</v>
      </c>
      <c r="AZ198" s="5">
        <v>5721.0</v>
      </c>
      <c r="BA198" s="5">
        <v>4363.0</v>
      </c>
      <c r="BB198" s="5">
        <v>3503.0</v>
      </c>
      <c r="BC198" s="5">
        <v>2766.0</v>
      </c>
      <c r="BD198" s="5">
        <v>3252.0</v>
      </c>
      <c r="BE198" s="4"/>
      <c r="BF198" s="4"/>
      <c r="BG198" s="4"/>
      <c r="BH198" s="4"/>
      <c r="BI198" s="4"/>
      <c r="BJ198" s="4"/>
    </row>
    <row r="199">
      <c r="A199" s="5"/>
      <c r="B199" s="5" t="s">
        <v>155</v>
      </c>
      <c r="C199" s="5">
        <v>302611.0</v>
      </c>
      <c r="D199" s="5">
        <v>27830.0</v>
      </c>
      <c r="E199" s="5">
        <v>28741.0</v>
      </c>
      <c r="F199" s="5">
        <v>29525.0</v>
      </c>
      <c r="G199" s="5">
        <v>30799.0</v>
      </c>
      <c r="H199" s="5">
        <v>33082.0</v>
      </c>
      <c r="I199" s="5">
        <v>28887.0</v>
      </c>
      <c r="J199" s="5">
        <v>23954.0</v>
      </c>
      <c r="K199" s="5">
        <v>21057.0</v>
      </c>
      <c r="L199" s="5">
        <v>18037.0</v>
      </c>
      <c r="M199" s="5">
        <v>15005.0</v>
      </c>
      <c r="N199" s="5">
        <v>12888.0</v>
      </c>
      <c r="O199" s="5">
        <v>10826.0</v>
      </c>
      <c r="P199" s="5">
        <v>8594.0</v>
      </c>
      <c r="Q199" s="5">
        <v>5935.0</v>
      </c>
      <c r="R199" s="5">
        <v>3583.0</v>
      </c>
      <c r="S199" s="5">
        <v>1929.0</v>
      </c>
      <c r="T199" s="5">
        <v>1939.0</v>
      </c>
      <c r="U199" s="5">
        <v>151878.0</v>
      </c>
      <c r="V199" s="5">
        <v>14361.0</v>
      </c>
      <c r="W199" s="5">
        <v>14873.0</v>
      </c>
      <c r="X199" s="5">
        <v>15250.0</v>
      </c>
      <c r="Y199" s="5">
        <v>15318.0</v>
      </c>
      <c r="Z199" s="5">
        <v>16184.0</v>
      </c>
      <c r="AA199" s="5">
        <v>14228.0</v>
      </c>
      <c r="AB199" s="5">
        <v>12162.0</v>
      </c>
      <c r="AC199" s="5">
        <v>10662.0</v>
      </c>
      <c r="AD199" s="5">
        <v>9102.0</v>
      </c>
      <c r="AE199" s="5">
        <v>7606.0</v>
      </c>
      <c r="AF199" s="5">
        <v>6360.0</v>
      </c>
      <c r="AG199" s="5">
        <v>5408.0</v>
      </c>
      <c r="AH199" s="5">
        <v>4266.0</v>
      </c>
      <c r="AI199" s="5">
        <v>2903.0</v>
      </c>
      <c r="AJ199" s="5">
        <v>1673.0</v>
      </c>
      <c r="AK199" s="5">
        <v>815.0</v>
      </c>
      <c r="AL199" s="5">
        <v>707.0</v>
      </c>
      <c r="AM199" s="5">
        <v>150733.0</v>
      </c>
      <c r="AN199" s="5">
        <v>13469.0</v>
      </c>
      <c r="AO199" s="5">
        <v>13868.0</v>
      </c>
      <c r="AP199" s="5">
        <v>14275.0</v>
      </c>
      <c r="AQ199" s="5">
        <v>15481.0</v>
      </c>
      <c r="AR199" s="5">
        <v>16898.0</v>
      </c>
      <c r="AS199" s="5">
        <v>14659.0</v>
      </c>
      <c r="AT199" s="5">
        <v>11792.0</v>
      </c>
      <c r="AU199" s="5">
        <v>10395.0</v>
      </c>
      <c r="AV199" s="5">
        <v>8935.0</v>
      </c>
      <c r="AW199" s="5">
        <v>7399.0</v>
      </c>
      <c r="AX199" s="5">
        <v>6528.0</v>
      </c>
      <c r="AY199" s="5">
        <v>5418.0</v>
      </c>
      <c r="AZ199" s="5">
        <v>4328.0</v>
      </c>
      <c r="BA199" s="5">
        <v>3032.0</v>
      </c>
      <c r="BB199" s="5">
        <v>1910.0</v>
      </c>
      <c r="BC199" s="5">
        <v>1114.0</v>
      </c>
      <c r="BD199" s="5">
        <v>1232.0</v>
      </c>
      <c r="BE199" s="4"/>
      <c r="BF199" s="4"/>
      <c r="BG199" s="4"/>
      <c r="BH199" s="4"/>
      <c r="BI199" s="4"/>
      <c r="BJ199" s="4"/>
    </row>
    <row r="200">
      <c r="A200" s="5"/>
      <c r="B200" s="5" t="s">
        <v>156</v>
      </c>
      <c r="C200" s="5">
        <v>6067290.0</v>
      </c>
      <c r="D200" s="5">
        <v>678871.0</v>
      </c>
      <c r="E200" s="5">
        <v>697454.0</v>
      </c>
      <c r="F200" s="5">
        <v>693247.0</v>
      </c>
      <c r="G200" s="5">
        <v>665791.0</v>
      </c>
      <c r="H200" s="5">
        <v>529513.0</v>
      </c>
      <c r="I200" s="5">
        <v>438468.0</v>
      </c>
      <c r="J200" s="5">
        <v>384849.0</v>
      </c>
      <c r="K200" s="5">
        <v>344492.0</v>
      </c>
      <c r="L200" s="5">
        <v>323224.0</v>
      </c>
      <c r="M200" s="5">
        <v>284233.0</v>
      </c>
      <c r="N200" s="5">
        <v>264872.0</v>
      </c>
      <c r="O200" s="5">
        <v>224152.0</v>
      </c>
      <c r="P200" s="5">
        <v>185959.0</v>
      </c>
      <c r="Q200" s="5">
        <v>136836.0</v>
      </c>
      <c r="R200" s="5">
        <v>96149.0</v>
      </c>
      <c r="S200" s="5">
        <v>60836.0</v>
      </c>
      <c r="T200" s="5">
        <v>58344.0</v>
      </c>
      <c r="U200" s="5">
        <v>3078272.0</v>
      </c>
      <c r="V200" s="5">
        <v>351254.0</v>
      </c>
      <c r="W200" s="5">
        <v>363215.0</v>
      </c>
      <c r="X200" s="5">
        <v>358990.0</v>
      </c>
      <c r="Y200" s="5">
        <v>341388.0</v>
      </c>
      <c r="Z200" s="5">
        <v>272403.0</v>
      </c>
      <c r="AA200" s="5">
        <v>224267.0</v>
      </c>
      <c r="AB200" s="5">
        <v>198665.0</v>
      </c>
      <c r="AC200" s="5">
        <v>177454.0</v>
      </c>
      <c r="AD200" s="5">
        <v>165905.0</v>
      </c>
      <c r="AE200" s="5">
        <v>144653.0</v>
      </c>
      <c r="AF200" s="5">
        <v>133629.0</v>
      </c>
      <c r="AG200" s="5">
        <v>112015.0</v>
      </c>
      <c r="AH200" s="5">
        <v>90104.0</v>
      </c>
      <c r="AI200" s="5">
        <v>63084.0</v>
      </c>
      <c r="AJ200" s="5">
        <v>40408.0</v>
      </c>
      <c r="AK200" s="5">
        <v>22883.0</v>
      </c>
      <c r="AL200" s="5">
        <v>17955.0</v>
      </c>
      <c r="AM200" s="5">
        <v>2989018.0</v>
      </c>
      <c r="AN200" s="5">
        <v>327617.0</v>
      </c>
      <c r="AO200" s="5">
        <v>334239.0</v>
      </c>
      <c r="AP200" s="5">
        <v>334257.0</v>
      </c>
      <c r="AQ200" s="5">
        <v>324403.0</v>
      </c>
      <c r="AR200" s="5">
        <v>257110.0</v>
      </c>
      <c r="AS200" s="5">
        <v>214201.0</v>
      </c>
      <c r="AT200" s="5">
        <v>186184.0</v>
      </c>
      <c r="AU200" s="5">
        <v>167038.0</v>
      </c>
      <c r="AV200" s="5">
        <v>157319.0</v>
      </c>
      <c r="AW200" s="5">
        <v>139580.0</v>
      </c>
      <c r="AX200" s="5">
        <v>131243.0</v>
      </c>
      <c r="AY200" s="5">
        <v>112137.0</v>
      </c>
      <c r="AZ200" s="5">
        <v>95855.0</v>
      </c>
      <c r="BA200" s="5">
        <v>73752.0</v>
      </c>
      <c r="BB200" s="5">
        <v>55741.0</v>
      </c>
      <c r="BC200" s="5">
        <v>37953.0</v>
      </c>
      <c r="BD200" s="5">
        <v>40389.0</v>
      </c>
      <c r="BE200" s="4"/>
      <c r="BF200" s="4"/>
      <c r="BG200" s="4"/>
      <c r="BH200" s="4"/>
      <c r="BI200" s="4"/>
      <c r="BJ200" s="4"/>
    </row>
    <row r="201">
      <c r="A201" s="5"/>
      <c r="B201" s="5" t="s">
        <v>157</v>
      </c>
      <c r="C201" s="5">
        <v>1372550.0</v>
      </c>
      <c r="D201" s="5">
        <v>138688.0</v>
      </c>
      <c r="E201" s="5">
        <v>147794.0</v>
      </c>
      <c r="F201" s="5">
        <v>150748.0</v>
      </c>
      <c r="G201" s="5">
        <v>148877.0</v>
      </c>
      <c r="H201" s="5">
        <v>123071.0</v>
      </c>
      <c r="I201" s="5">
        <v>102774.0</v>
      </c>
      <c r="J201" s="5">
        <v>90740.0</v>
      </c>
      <c r="K201" s="5">
        <v>82833.0</v>
      </c>
      <c r="L201" s="5">
        <v>77737.0</v>
      </c>
      <c r="M201" s="5">
        <v>67298.0</v>
      </c>
      <c r="N201" s="5">
        <v>62039.0</v>
      </c>
      <c r="O201" s="5">
        <v>52476.0</v>
      </c>
      <c r="P201" s="5">
        <v>43693.0</v>
      </c>
      <c r="Q201" s="5">
        <v>32546.0</v>
      </c>
      <c r="R201" s="5">
        <v>23532.0</v>
      </c>
      <c r="S201" s="5">
        <v>14132.0</v>
      </c>
      <c r="T201" s="5">
        <v>13572.0</v>
      </c>
      <c r="U201" s="5">
        <v>694002.0</v>
      </c>
      <c r="V201" s="5">
        <v>71829.0</v>
      </c>
      <c r="W201" s="5">
        <v>77212.0</v>
      </c>
      <c r="X201" s="5">
        <v>78124.0</v>
      </c>
      <c r="Y201" s="5">
        <v>76236.0</v>
      </c>
      <c r="Z201" s="5">
        <v>63371.0</v>
      </c>
      <c r="AA201" s="5">
        <v>52530.0</v>
      </c>
      <c r="AB201" s="5">
        <v>46407.0</v>
      </c>
      <c r="AC201" s="5">
        <v>42484.0</v>
      </c>
      <c r="AD201" s="5">
        <v>39786.0</v>
      </c>
      <c r="AE201" s="5">
        <v>33943.0</v>
      </c>
      <c r="AF201" s="5">
        <v>31245.0</v>
      </c>
      <c r="AG201" s="5">
        <v>26083.0</v>
      </c>
      <c r="AH201" s="5">
        <v>20691.0</v>
      </c>
      <c r="AI201" s="5">
        <v>14939.0</v>
      </c>
      <c r="AJ201" s="5">
        <v>9831.0</v>
      </c>
      <c r="AK201" s="5">
        <v>5273.0</v>
      </c>
      <c r="AL201" s="5">
        <v>4018.0</v>
      </c>
      <c r="AM201" s="5">
        <v>678548.0</v>
      </c>
      <c r="AN201" s="5">
        <v>66859.0</v>
      </c>
      <c r="AO201" s="5">
        <v>70582.0</v>
      </c>
      <c r="AP201" s="5">
        <v>72624.0</v>
      </c>
      <c r="AQ201" s="5">
        <v>72641.0</v>
      </c>
      <c r="AR201" s="5">
        <v>59700.0</v>
      </c>
      <c r="AS201" s="5">
        <v>50244.0</v>
      </c>
      <c r="AT201" s="5">
        <v>44333.0</v>
      </c>
      <c r="AU201" s="5">
        <v>40349.0</v>
      </c>
      <c r="AV201" s="5">
        <v>37951.0</v>
      </c>
      <c r="AW201" s="5">
        <v>33355.0</v>
      </c>
      <c r="AX201" s="5">
        <v>30794.0</v>
      </c>
      <c r="AY201" s="5">
        <v>26393.0</v>
      </c>
      <c r="AZ201" s="5">
        <v>23002.0</v>
      </c>
      <c r="BA201" s="5">
        <v>17607.0</v>
      </c>
      <c r="BB201" s="5">
        <v>13701.0</v>
      </c>
      <c r="BC201" s="5">
        <v>8859.0</v>
      </c>
      <c r="BD201" s="5">
        <v>9554.0</v>
      </c>
      <c r="BE201" s="4"/>
      <c r="BF201" s="4"/>
      <c r="BG201" s="4"/>
      <c r="BH201" s="4"/>
      <c r="BI201" s="4"/>
      <c r="BJ201" s="4"/>
    </row>
    <row r="202">
      <c r="A202" s="5"/>
      <c r="B202" s="5" t="s">
        <v>158</v>
      </c>
      <c r="C202" s="5">
        <v>628807.0</v>
      </c>
      <c r="D202" s="5">
        <v>73392.0</v>
      </c>
      <c r="E202" s="5">
        <v>73278.0</v>
      </c>
      <c r="F202" s="5">
        <v>70429.0</v>
      </c>
      <c r="G202" s="5">
        <v>64594.0</v>
      </c>
      <c r="H202" s="5">
        <v>54022.0</v>
      </c>
      <c r="I202" s="5">
        <v>46058.0</v>
      </c>
      <c r="J202" s="5">
        <v>41026.0</v>
      </c>
      <c r="K202" s="5">
        <v>36199.0</v>
      </c>
      <c r="L202" s="5">
        <v>33635.0</v>
      </c>
      <c r="M202" s="5">
        <v>29648.0</v>
      </c>
      <c r="N202" s="5">
        <v>28556.0</v>
      </c>
      <c r="O202" s="5">
        <v>23834.0</v>
      </c>
      <c r="P202" s="5">
        <v>19642.0</v>
      </c>
      <c r="Q202" s="5">
        <v>14064.0</v>
      </c>
      <c r="R202" s="5">
        <v>9403.0</v>
      </c>
      <c r="S202" s="5">
        <v>5743.0</v>
      </c>
      <c r="T202" s="5">
        <v>5284.0</v>
      </c>
      <c r="U202" s="5">
        <v>319622.0</v>
      </c>
      <c r="V202" s="5">
        <v>38029.0</v>
      </c>
      <c r="W202" s="5">
        <v>38149.0</v>
      </c>
      <c r="X202" s="5">
        <v>36272.0</v>
      </c>
      <c r="Y202" s="5">
        <v>33059.0</v>
      </c>
      <c r="Z202" s="5">
        <v>27711.0</v>
      </c>
      <c r="AA202" s="5">
        <v>23461.0</v>
      </c>
      <c r="AB202" s="5">
        <v>21400.0</v>
      </c>
      <c r="AC202" s="5">
        <v>18549.0</v>
      </c>
      <c r="AD202" s="5">
        <v>17288.0</v>
      </c>
      <c r="AE202" s="5">
        <v>15205.0</v>
      </c>
      <c r="AF202" s="5">
        <v>14555.0</v>
      </c>
      <c r="AG202" s="5">
        <v>12074.0</v>
      </c>
      <c r="AH202" s="5">
        <v>9763.0</v>
      </c>
      <c r="AI202" s="5">
        <v>6558.0</v>
      </c>
      <c r="AJ202" s="5">
        <v>3940.0</v>
      </c>
      <c r="AK202" s="5">
        <v>2090.0</v>
      </c>
      <c r="AL202" s="5">
        <v>1519.0</v>
      </c>
      <c r="AM202" s="5">
        <v>309185.0</v>
      </c>
      <c r="AN202" s="5">
        <v>35363.0</v>
      </c>
      <c r="AO202" s="5">
        <v>35129.0</v>
      </c>
      <c r="AP202" s="5">
        <v>34157.0</v>
      </c>
      <c r="AQ202" s="5">
        <v>31535.0</v>
      </c>
      <c r="AR202" s="5">
        <v>26311.0</v>
      </c>
      <c r="AS202" s="5">
        <v>22597.0</v>
      </c>
      <c r="AT202" s="5">
        <v>19626.0</v>
      </c>
      <c r="AU202" s="5">
        <v>17650.0</v>
      </c>
      <c r="AV202" s="5">
        <v>16347.0</v>
      </c>
      <c r="AW202" s="5">
        <v>14443.0</v>
      </c>
      <c r="AX202" s="5">
        <v>14001.0</v>
      </c>
      <c r="AY202" s="5">
        <v>11760.0</v>
      </c>
      <c r="AZ202" s="5">
        <v>9879.0</v>
      </c>
      <c r="BA202" s="5">
        <v>7506.0</v>
      </c>
      <c r="BB202" s="5">
        <v>5463.0</v>
      </c>
      <c r="BC202" s="5">
        <v>3653.0</v>
      </c>
      <c r="BD202" s="5">
        <v>3765.0</v>
      </c>
      <c r="BE202" s="4"/>
      <c r="BF202" s="4"/>
      <c r="BG202" s="4"/>
      <c r="BH202" s="4"/>
      <c r="BI202" s="4"/>
      <c r="BJ202" s="4"/>
    </row>
    <row r="203">
      <c r="A203" s="5"/>
      <c r="B203" s="5" t="s">
        <v>159</v>
      </c>
      <c r="C203" s="5">
        <v>2062277.0</v>
      </c>
      <c r="D203" s="5">
        <v>236578.0</v>
      </c>
      <c r="E203" s="5">
        <v>236038.0</v>
      </c>
      <c r="F203" s="5">
        <v>235370.0</v>
      </c>
      <c r="G203" s="5">
        <v>228307.0</v>
      </c>
      <c r="H203" s="5">
        <v>180856.0</v>
      </c>
      <c r="I203" s="5">
        <v>149651.0</v>
      </c>
      <c r="J203" s="5">
        <v>133229.0</v>
      </c>
      <c r="K203" s="5">
        <v>117986.0</v>
      </c>
      <c r="L203" s="5">
        <v>109454.0</v>
      </c>
      <c r="M203" s="5">
        <v>94261.0</v>
      </c>
      <c r="N203" s="5">
        <v>87159.0</v>
      </c>
      <c r="O203" s="5">
        <v>74549.0</v>
      </c>
      <c r="P203" s="5">
        <v>62258.0</v>
      </c>
      <c r="Q203" s="5">
        <v>46160.0</v>
      </c>
      <c r="R203" s="5">
        <v>32188.0</v>
      </c>
      <c r="S203" s="5">
        <v>19532.0</v>
      </c>
      <c r="T203" s="5">
        <v>18701.0</v>
      </c>
      <c r="U203" s="5">
        <v>1046448.0</v>
      </c>
      <c r="V203" s="5">
        <v>122357.0</v>
      </c>
      <c r="W203" s="5">
        <v>122977.0</v>
      </c>
      <c r="X203" s="5">
        <v>121893.0</v>
      </c>
      <c r="Y203" s="5">
        <v>117038.0</v>
      </c>
      <c r="Z203" s="5">
        <v>93040.0</v>
      </c>
      <c r="AA203" s="5">
        <v>76723.0</v>
      </c>
      <c r="AB203" s="5">
        <v>68867.0</v>
      </c>
      <c r="AC203" s="5">
        <v>60848.0</v>
      </c>
      <c r="AD203" s="5">
        <v>56218.0</v>
      </c>
      <c r="AE203" s="5">
        <v>47775.0</v>
      </c>
      <c r="AF203" s="5">
        <v>43844.0</v>
      </c>
      <c r="AG203" s="5">
        <v>36998.0</v>
      </c>
      <c r="AH203" s="5">
        <v>29944.0</v>
      </c>
      <c r="AI203" s="5">
        <v>21252.0</v>
      </c>
      <c r="AJ203" s="5">
        <v>13488.0</v>
      </c>
      <c r="AK203" s="5">
        <v>7370.0</v>
      </c>
      <c r="AL203" s="5">
        <v>5816.0</v>
      </c>
      <c r="AM203" s="5">
        <v>1015829.0</v>
      </c>
      <c r="AN203" s="5">
        <v>114221.0</v>
      </c>
      <c r="AO203" s="5">
        <v>113061.0</v>
      </c>
      <c r="AP203" s="5">
        <v>113477.0</v>
      </c>
      <c r="AQ203" s="5">
        <v>111269.0</v>
      </c>
      <c r="AR203" s="5">
        <v>87816.0</v>
      </c>
      <c r="AS203" s="5">
        <v>72928.0</v>
      </c>
      <c r="AT203" s="5">
        <v>64362.0</v>
      </c>
      <c r="AU203" s="5">
        <v>57138.0</v>
      </c>
      <c r="AV203" s="5">
        <v>53236.0</v>
      </c>
      <c r="AW203" s="5">
        <v>46486.0</v>
      </c>
      <c r="AX203" s="5">
        <v>43315.0</v>
      </c>
      <c r="AY203" s="5">
        <v>37551.0</v>
      </c>
      <c r="AZ203" s="5">
        <v>32314.0</v>
      </c>
      <c r="BA203" s="5">
        <v>24908.0</v>
      </c>
      <c r="BB203" s="5">
        <v>18700.0</v>
      </c>
      <c r="BC203" s="5">
        <v>12162.0</v>
      </c>
      <c r="BD203" s="5">
        <v>12885.0</v>
      </c>
      <c r="BE203" s="4"/>
      <c r="BF203" s="4"/>
      <c r="BG203" s="4"/>
      <c r="BH203" s="4"/>
      <c r="BI203" s="4"/>
      <c r="BJ203" s="4"/>
    </row>
    <row r="204">
      <c r="A204" s="5"/>
      <c r="B204" s="5" t="s">
        <v>160</v>
      </c>
      <c r="C204" s="5">
        <v>270775.0</v>
      </c>
      <c r="D204" s="5">
        <v>29357.0</v>
      </c>
      <c r="E204" s="5">
        <v>30616.0</v>
      </c>
      <c r="F204" s="5">
        <v>30456.0</v>
      </c>
      <c r="G204" s="5">
        <v>29822.0</v>
      </c>
      <c r="H204" s="5">
        <v>23423.0</v>
      </c>
      <c r="I204" s="5">
        <v>19162.0</v>
      </c>
      <c r="J204" s="5">
        <v>16593.0</v>
      </c>
      <c r="K204" s="5">
        <v>15064.0</v>
      </c>
      <c r="L204" s="5">
        <v>14013.0</v>
      </c>
      <c r="M204" s="5">
        <v>12883.0</v>
      </c>
      <c r="N204" s="5">
        <v>12248.0</v>
      </c>
      <c r="O204" s="5">
        <v>10499.0</v>
      </c>
      <c r="P204" s="5">
        <v>8491.0</v>
      </c>
      <c r="Q204" s="5">
        <v>6358.0</v>
      </c>
      <c r="R204" s="5">
        <v>4628.0</v>
      </c>
      <c r="S204" s="5">
        <v>3404.0</v>
      </c>
      <c r="T204" s="5">
        <v>3758.0</v>
      </c>
      <c r="U204" s="5">
        <v>138488.0</v>
      </c>
      <c r="V204" s="5">
        <v>15259.0</v>
      </c>
      <c r="W204" s="5">
        <v>15821.0</v>
      </c>
      <c r="X204" s="5">
        <v>15815.0</v>
      </c>
      <c r="Y204" s="5">
        <v>15588.0</v>
      </c>
      <c r="Z204" s="5">
        <v>12279.0</v>
      </c>
      <c r="AA204" s="5">
        <v>9958.0</v>
      </c>
      <c r="AB204" s="5">
        <v>8527.0</v>
      </c>
      <c r="AC204" s="5">
        <v>7870.0</v>
      </c>
      <c r="AD204" s="5">
        <v>7217.0</v>
      </c>
      <c r="AE204" s="5">
        <v>6760.0</v>
      </c>
      <c r="AF204" s="5">
        <v>6341.0</v>
      </c>
      <c r="AG204" s="5">
        <v>5412.0</v>
      </c>
      <c r="AH204" s="5">
        <v>4292.0</v>
      </c>
      <c r="AI204" s="5">
        <v>2940.0</v>
      </c>
      <c r="AJ204" s="5">
        <v>1931.0</v>
      </c>
      <c r="AK204" s="5">
        <v>1305.0</v>
      </c>
      <c r="AL204" s="5">
        <v>1173.0</v>
      </c>
      <c r="AM204" s="5">
        <v>132287.0</v>
      </c>
      <c r="AN204" s="5">
        <v>14098.0</v>
      </c>
      <c r="AO204" s="5">
        <v>14795.0</v>
      </c>
      <c r="AP204" s="5">
        <v>14641.0</v>
      </c>
      <c r="AQ204" s="5">
        <v>14234.0</v>
      </c>
      <c r="AR204" s="5">
        <v>11144.0</v>
      </c>
      <c r="AS204" s="5">
        <v>9204.0</v>
      </c>
      <c r="AT204" s="5">
        <v>8066.0</v>
      </c>
      <c r="AU204" s="5">
        <v>7194.0</v>
      </c>
      <c r="AV204" s="5">
        <v>6796.0</v>
      </c>
      <c r="AW204" s="5">
        <v>6123.0</v>
      </c>
      <c r="AX204" s="5">
        <v>5907.0</v>
      </c>
      <c r="AY204" s="5">
        <v>5087.0</v>
      </c>
      <c r="AZ204" s="5">
        <v>4199.0</v>
      </c>
      <c r="BA204" s="5">
        <v>3418.0</v>
      </c>
      <c r="BB204" s="5">
        <v>2697.0</v>
      </c>
      <c r="BC204" s="5">
        <v>2099.0</v>
      </c>
      <c r="BD204" s="5">
        <v>2585.0</v>
      </c>
      <c r="BE204" s="4"/>
      <c r="BF204" s="4"/>
      <c r="BG204" s="4"/>
      <c r="BH204" s="4"/>
      <c r="BI204" s="4"/>
      <c r="BJ204" s="4"/>
    </row>
    <row r="205">
      <c r="A205" s="5"/>
      <c r="B205" s="5" t="s">
        <v>161</v>
      </c>
      <c r="C205" s="5">
        <v>906731.0</v>
      </c>
      <c r="D205" s="5">
        <v>110676.0</v>
      </c>
      <c r="E205" s="5">
        <v>115155.0</v>
      </c>
      <c r="F205" s="5">
        <v>115213.0</v>
      </c>
      <c r="G205" s="5">
        <v>103140.0</v>
      </c>
      <c r="H205" s="5">
        <v>75243.0</v>
      </c>
      <c r="I205" s="5">
        <v>61793.0</v>
      </c>
      <c r="J205" s="5">
        <v>52864.0</v>
      </c>
      <c r="K205" s="5">
        <v>46468.0</v>
      </c>
      <c r="L205" s="5">
        <v>43710.0</v>
      </c>
      <c r="M205" s="5">
        <v>40051.0</v>
      </c>
      <c r="N205" s="5">
        <v>36844.0</v>
      </c>
      <c r="O205" s="5">
        <v>31160.0</v>
      </c>
      <c r="P205" s="5">
        <v>26166.0</v>
      </c>
      <c r="Q205" s="5">
        <v>18917.0</v>
      </c>
      <c r="R205" s="5">
        <v>12583.0</v>
      </c>
      <c r="S205" s="5">
        <v>8649.0</v>
      </c>
      <c r="T205" s="5">
        <v>8099.0</v>
      </c>
      <c r="U205" s="5">
        <v>459662.0</v>
      </c>
      <c r="V205" s="5">
        <v>56984.0</v>
      </c>
      <c r="W205" s="5">
        <v>59438.0</v>
      </c>
      <c r="X205" s="5">
        <v>59255.0</v>
      </c>
      <c r="Y205" s="5">
        <v>52630.0</v>
      </c>
      <c r="Z205" s="5">
        <v>38199.0</v>
      </c>
      <c r="AA205" s="5">
        <v>31325.0</v>
      </c>
      <c r="AB205" s="5">
        <v>27571.0</v>
      </c>
      <c r="AC205" s="5">
        <v>24186.0</v>
      </c>
      <c r="AD205" s="5">
        <v>22529.0</v>
      </c>
      <c r="AE205" s="5">
        <v>20482.0</v>
      </c>
      <c r="AF205" s="5">
        <v>18446.0</v>
      </c>
      <c r="AG205" s="5">
        <v>15616.0</v>
      </c>
      <c r="AH205" s="5">
        <v>12797.0</v>
      </c>
      <c r="AI205" s="5">
        <v>8770.0</v>
      </c>
      <c r="AJ205" s="5">
        <v>5405.0</v>
      </c>
      <c r="AK205" s="5">
        <v>3326.0</v>
      </c>
      <c r="AL205" s="5">
        <v>2703.0</v>
      </c>
      <c r="AM205" s="5">
        <v>447069.0</v>
      </c>
      <c r="AN205" s="5">
        <v>53692.0</v>
      </c>
      <c r="AO205" s="5">
        <v>55717.0</v>
      </c>
      <c r="AP205" s="5">
        <v>55958.0</v>
      </c>
      <c r="AQ205" s="5">
        <v>50510.0</v>
      </c>
      <c r="AR205" s="5">
        <v>37044.0</v>
      </c>
      <c r="AS205" s="5">
        <v>30468.0</v>
      </c>
      <c r="AT205" s="5">
        <v>25293.0</v>
      </c>
      <c r="AU205" s="5">
        <v>22282.0</v>
      </c>
      <c r="AV205" s="5">
        <v>21181.0</v>
      </c>
      <c r="AW205" s="5">
        <v>19569.0</v>
      </c>
      <c r="AX205" s="5">
        <v>18398.0</v>
      </c>
      <c r="AY205" s="5">
        <v>15544.0</v>
      </c>
      <c r="AZ205" s="5">
        <v>13369.0</v>
      </c>
      <c r="BA205" s="5">
        <v>10147.0</v>
      </c>
      <c r="BB205" s="5">
        <v>7178.0</v>
      </c>
      <c r="BC205" s="5">
        <v>5323.0</v>
      </c>
      <c r="BD205" s="5">
        <v>5396.0</v>
      </c>
      <c r="BE205" s="4"/>
      <c r="BF205" s="4"/>
      <c r="BG205" s="4"/>
      <c r="BH205" s="4"/>
      <c r="BI205" s="4"/>
      <c r="BJ205" s="4"/>
    </row>
    <row r="206">
      <c r="A206" s="5"/>
      <c r="B206" s="5" t="s">
        <v>162</v>
      </c>
      <c r="C206" s="5">
        <v>826150.0</v>
      </c>
      <c r="D206" s="5">
        <v>90180.0</v>
      </c>
      <c r="E206" s="5">
        <v>94573.0</v>
      </c>
      <c r="F206" s="5">
        <v>91031.0</v>
      </c>
      <c r="G206" s="5">
        <v>91051.0</v>
      </c>
      <c r="H206" s="5">
        <v>72898.0</v>
      </c>
      <c r="I206" s="5">
        <v>59030.0</v>
      </c>
      <c r="J206" s="5">
        <v>50397.0</v>
      </c>
      <c r="K206" s="5">
        <v>45942.0</v>
      </c>
      <c r="L206" s="5">
        <v>44675.0</v>
      </c>
      <c r="M206" s="5">
        <v>40092.0</v>
      </c>
      <c r="N206" s="5">
        <v>38026.0</v>
      </c>
      <c r="O206" s="5">
        <v>31634.0</v>
      </c>
      <c r="P206" s="5">
        <v>25709.0</v>
      </c>
      <c r="Q206" s="5">
        <v>18791.0</v>
      </c>
      <c r="R206" s="5">
        <v>13815.0</v>
      </c>
      <c r="S206" s="5">
        <v>9376.0</v>
      </c>
      <c r="T206" s="5">
        <v>8930.0</v>
      </c>
      <c r="U206" s="5">
        <v>420050.0</v>
      </c>
      <c r="V206" s="5">
        <v>46796.0</v>
      </c>
      <c r="W206" s="5">
        <v>49618.0</v>
      </c>
      <c r="X206" s="5">
        <v>47631.0</v>
      </c>
      <c r="Y206" s="5">
        <v>46837.0</v>
      </c>
      <c r="Z206" s="5">
        <v>37803.0</v>
      </c>
      <c r="AA206" s="5">
        <v>30270.0</v>
      </c>
      <c r="AB206" s="5">
        <v>25893.0</v>
      </c>
      <c r="AC206" s="5">
        <v>23517.0</v>
      </c>
      <c r="AD206" s="5">
        <v>22867.0</v>
      </c>
      <c r="AE206" s="5">
        <v>20488.0</v>
      </c>
      <c r="AF206" s="5">
        <v>19198.0</v>
      </c>
      <c r="AG206" s="5">
        <v>15832.0</v>
      </c>
      <c r="AH206" s="5">
        <v>12617.0</v>
      </c>
      <c r="AI206" s="5">
        <v>8625.0</v>
      </c>
      <c r="AJ206" s="5">
        <v>5813.0</v>
      </c>
      <c r="AK206" s="5">
        <v>3519.0</v>
      </c>
      <c r="AL206" s="5">
        <v>2726.0</v>
      </c>
      <c r="AM206" s="5">
        <v>406100.0</v>
      </c>
      <c r="AN206" s="5">
        <v>43384.0</v>
      </c>
      <c r="AO206" s="5">
        <v>44955.0</v>
      </c>
      <c r="AP206" s="5">
        <v>43400.0</v>
      </c>
      <c r="AQ206" s="5">
        <v>44214.0</v>
      </c>
      <c r="AR206" s="5">
        <v>35095.0</v>
      </c>
      <c r="AS206" s="5">
        <v>28760.0</v>
      </c>
      <c r="AT206" s="5">
        <v>24504.0</v>
      </c>
      <c r="AU206" s="5">
        <v>22425.0</v>
      </c>
      <c r="AV206" s="5">
        <v>21808.0</v>
      </c>
      <c r="AW206" s="5">
        <v>19604.0</v>
      </c>
      <c r="AX206" s="5">
        <v>18828.0</v>
      </c>
      <c r="AY206" s="5">
        <v>15802.0</v>
      </c>
      <c r="AZ206" s="5">
        <v>13092.0</v>
      </c>
      <c r="BA206" s="5">
        <v>10166.0</v>
      </c>
      <c r="BB206" s="5">
        <v>8002.0</v>
      </c>
      <c r="BC206" s="5">
        <v>5857.0</v>
      </c>
      <c r="BD206" s="5">
        <v>6204.0</v>
      </c>
      <c r="BE206" s="4"/>
      <c r="BF206" s="4"/>
      <c r="BG206" s="4"/>
      <c r="BH206" s="4"/>
      <c r="BI206" s="4"/>
      <c r="BJ206" s="4"/>
    </row>
    <row r="207">
      <c r="A207" s="5"/>
      <c r="B207" s="5" t="s">
        <v>163</v>
      </c>
      <c r="C207" s="5">
        <v>7935531.0</v>
      </c>
      <c r="D207" s="5">
        <v>761614.0</v>
      </c>
      <c r="E207" s="5">
        <v>790100.0</v>
      </c>
      <c r="F207" s="5">
        <v>792840.0</v>
      </c>
      <c r="G207" s="5">
        <v>760622.0</v>
      </c>
      <c r="H207" s="5">
        <v>697690.0</v>
      </c>
      <c r="I207" s="5">
        <v>635733.0</v>
      </c>
      <c r="J207" s="5">
        <v>570299.0</v>
      </c>
      <c r="K207" s="5">
        <v>507673.0</v>
      </c>
      <c r="L207" s="5">
        <v>460579.0</v>
      </c>
      <c r="M207" s="5">
        <v>408204.0</v>
      </c>
      <c r="N207" s="5">
        <v>378155.0</v>
      </c>
      <c r="O207" s="5">
        <v>334290.0</v>
      </c>
      <c r="P207" s="5">
        <v>282080.0</v>
      </c>
      <c r="Q207" s="5">
        <v>211752.0</v>
      </c>
      <c r="R207" s="5">
        <v>142747.0</v>
      </c>
      <c r="S207" s="5">
        <v>95758.0</v>
      </c>
      <c r="T207" s="5">
        <v>105395.0</v>
      </c>
      <c r="U207" s="5">
        <v>4029971.0</v>
      </c>
      <c r="V207" s="5">
        <v>392881.0</v>
      </c>
      <c r="W207" s="5">
        <v>410646.0</v>
      </c>
      <c r="X207" s="5">
        <v>410418.0</v>
      </c>
      <c r="Y207" s="5">
        <v>390303.0</v>
      </c>
      <c r="Z207" s="5">
        <v>358894.0</v>
      </c>
      <c r="AA207" s="5">
        <v>328201.0</v>
      </c>
      <c r="AB207" s="5">
        <v>298565.0</v>
      </c>
      <c r="AC207" s="5">
        <v>266510.0</v>
      </c>
      <c r="AD207" s="5">
        <v>242002.0</v>
      </c>
      <c r="AE207" s="5">
        <v>210679.0</v>
      </c>
      <c r="AF207" s="5">
        <v>191187.0</v>
      </c>
      <c r="AG207" s="5">
        <v>166574.0</v>
      </c>
      <c r="AH207" s="5">
        <v>135277.0</v>
      </c>
      <c r="AI207" s="5">
        <v>97537.0</v>
      </c>
      <c r="AJ207" s="5">
        <v>60542.0</v>
      </c>
      <c r="AK207" s="5">
        <v>36459.0</v>
      </c>
      <c r="AL207" s="5">
        <v>33296.0</v>
      </c>
      <c r="AM207" s="5">
        <v>3905560.0</v>
      </c>
      <c r="AN207" s="5">
        <v>368733.0</v>
      </c>
      <c r="AO207" s="5">
        <v>379454.0</v>
      </c>
      <c r="AP207" s="5">
        <v>382422.0</v>
      </c>
      <c r="AQ207" s="5">
        <v>370319.0</v>
      </c>
      <c r="AR207" s="5">
        <v>338796.0</v>
      </c>
      <c r="AS207" s="5">
        <v>307532.0</v>
      </c>
      <c r="AT207" s="5">
        <v>271734.0</v>
      </c>
      <c r="AU207" s="5">
        <v>241163.0</v>
      </c>
      <c r="AV207" s="5">
        <v>218577.0</v>
      </c>
      <c r="AW207" s="5">
        <v>197525.0</v>
      </c>
      <c r="AX207" s="5">
        <v>186968.0</v>
      </c>
      <c r="AY207" s="5">
        <v>167716.0</v>
      </c>
      <c r="AZ207" s="5">
        <v>146803.0</v>
      </c>
      <c r="BA207" s="5">
        <v>114215.0</v>
      </c>
      <c r="BB207" s="5">
        <v>82205.0</v>
      </c>
      <c r="BC207" s="5">
        <v>59299.0</v>
      </c>
      <c r="BD207" s="5">
        <v>72099.0</v>
      </c>
      <c r="BE207" s="4"/>
      <c r="BF207" s="4"/>
      <c r="BG207" s="4"/>
      <c r="BH207" s="4"/>
      <c r="BI207" s="4"/>
      <c r="BJ207" s="4"/>
    </row>
    <row r="208">
      <c r="A208" s="5"/>
      <c r="B208" s="5" t="s">
        <v>164</v>
      </c>
      <c r="C208" s="5">
        <v>612985.0</v>
      </c>
      <c r="D208" s="5">
        <v>56731.0</v>
      </c>
      <c r="E208" s="5">
        <v>59025.0</v>
      </c>
      <c r="F208" s="5">
        <v>61231.0</v>
      </c>
      <c r="G208" s="5">
        <v>57716.0</v>
      </c>
      <c r="H208" s="5">
        <v>55483.0</v>
      </c>
      <c r="I208" s="5">
        <v>50879.0</v>
      </c>
      <c r="J208" s="5">
        <v>45503.0</v>
      </c>
      <c r="K208" s="5">
        <v>40676.0</v>
      </c>
      <c r="L208" s="5">
        <v>36030.0</v>
      </c>
      <c r="M208" s="5">
        <v>30649.0</v>
      </c>
      <c r="N208" s="5">
        <v>28425.0</v>
      </c>
      <c r="O208" s="5">
        <v>24598.0</v>
      </c>
      <c r="P208" s="5">
        <v>21008.0</v>
      </c>
      <c r="Q208" s="5">
        <v>16178.0</v>
      </c>
      <c r="R208" s="5">
        <v>11763.0</v>
      </c>
      <c r="S208" s="5">
        <v>8087.0</v>
      </c>
      <c r="T208" s="5">
        <v>9003.0</v>
      </c>
      <c r="U208" s="5">
        <v>311800.0</v>
      </c>
      <c r="V208" s="5">
        <v>29275.0</v>
      </c>
      <c r="W208" s="5">
        <v>30727.0</v>
      </c>
      <c r="X208" s="5">
        <v>31769.0</v>
      </c>
      <c r="Y208" s="5">
        <v>29721.0</v>
      </c>
      <c r="Z208" s="5">
        <v>28831.0</v>
      </c>
      <c r="AA208" s="5">
        <v>26449.0</v>
      </c>
      <c r="AB208" s="5">
        <v>23776.0</v>
      </c>
      <c r="AC208" s="5">
        <v>21370.0</v>
      </c>
      <c r="AD208" s="5">
        <v>19027.0</v>
      </c>
      <c r="AE208" s="5">
        <v>15977.0</v>
      </c>
      <c r="AF208" s="5">
        <v>14522.0</v>
      </c>
      <c r="AG208" s="5">
        <v>12300.0</v>
      </c>
      <c r="AH208" s="5">
        <v>10086.0</v>
      </c>
      <c r="AI208" s="5">
        <v>7561.0</v>
      </c>
      <c r="AJ208" s="5">
        <v>4867.0</v>
      </c>
      <c r="AK208" s="5">
        <v>2994.0</v>
      </c>
      <c r="AL208" s="5">
        <v>2548.0</v>
      </c>
      <c r="AM208" s="5">
        <v>301185.0</v>
      </c>
      <c r="AN208" s="5">
        <v>27456.0</v>
      </c>
      <c r="AO208" s="5">
        <v>28298.0</v>
      </c>
      <c r="AP208" s="5">
        <v>29462.0</v>
      </c>
      <c r="AQ208" s="5">
        <v>27995.0</v>
      </c>
      <c r="AR208" s="5">
        <v>26652.0</v>
      </c>
      <c r="AS208" s="5">
        <v>24430.0</v>
      </c>
      <c r="AT208" s="5">
        <v>21727.0</v>
      </c>
      <c r="AU208" s="5">
        <v>19306.0</v>
      </c>
      <c r="AV208" s="5">
        <v>17003.0</v>
      </c>
      <c r="AW208" s="5">
        <v>14672.0</v>
      </c>
      <c r="AX208" s="5">
        <v>13903.0</v>
      </c>
      <c r="AY208" s="5">
        <v>12298.0</v>
      </c>
      <c r="AZ208" s="5">
        <v>10922.0</v>
      </c>
      <c r="BA208" s="5">
        <v>8617.0</v>
      </c>
      <c r="BB208" s="5">
        <v>6896.0</v>
      </c>
      <c r="BC208" s="5">
        <v>5093.0</v>
      </c>
      <c r="BD208" s="5">
        <v>6455.0</v>
      </c>
      <c r="BE208" s="4"/>
      <c r="BF208" s="4"/>
      <c r="BG208" s="4"/>
      <c r="BH208" s="4"/>
      <c r="BI208" s="4"/>
      <c r="BJ208" s="4"/>
    </row>
    <row r="209">
      <c r="A209" s="5"/>
      <c r="B209" s="5" t="s">
        <v>165</v>
      </c>
      <c r="C209" s="5">
        <v>611478.0</v>
      </c>
      <c r="D209" s="5">
        <v>61955.0</v>
      </c>
      <c r="E209" s="5">
        <v>62332.0</v>
      </c>
      <c r="F209" s="5">
        <v>61663.0</v>
      </c>
      <c r="G209" s="5">
        <v>60744.0</v>
      </c>
      <c r="H209" s="5">
        <v>53798.0</v>
      </c>
      <c r="I209" s="5">
        <v>46827.0</v>
      </c>
      <c r="J209" s="5">
        <v>42218.0</v>
      </c>
      <c r="K209" s="5">
        <v>37358.0</v>
      </c>
      <c r="L209" s="5">
        <v>34176.0</v>
      </c>
      <c r="M209" s="5">
        <v>30504.0</v>
      </c>
      <c r="N209" s="5">
        <v>28259.0</v>
      </c>
      <c r="O209" s="5">
        <v>25435.0</v>
      </c>
      <c r="P209" s="5">
        <v>21467.0</v>
      </c>
      <c r="Q209" s="5">
        <v>15986.0</v>
      </c>
      <c r="R209" s="5">
        <v>11315.0</v>
      </c>
      <c r="S209" s="5">
        <v>8158.0</v>
      </c>
      <c r="T209" s="5">
        <v>9283.0</v>
      </c>
      <c r="U209" s="5">
        <v>311752.0</v>
      </c>
      <c r="V209" s="5">
        <v>31973.0</v>
      </c>
      <c r="W209" s="5">
        <v>32294.0</v>
      </c>
      <c r="X209" s="5">
        <v>31955.0</v>
      </c>
      <c r="Y209" s="5">
        <v>31323.0</v>
      </c>
      <c r="Z209" s="5">
        <v>28015.0</v>
      </c>
      <c r="AA209" s="5">
        <v>24549.0</v>
      </c>
      <c r="AB209" s="5">
        <v>22222.0</v>
      </c>
      <c r="AC209" s="5">
        <v>19749.0</v>
      </c>
      <c r="AD209" s="5">
        <v>18157.0</v>
      </c>
      <c r="AE209" s="5">
        <v>15996.0</v>
      </c>
      <c r="AF209" s="5">
        <v>14230.0</v>
      </c>
      <c r="AG209" s="5">
        <v>12667.0</v>
      </c>
      <c r="AH209" s="5">
        <v>10396.0</v>
      </c>
      <c r="AI209" s="5">
        <v>7358.0</v>
      </c>
      <c r="AJ209" s="5">
        <v>4760.0</v>
      </c>
      <c r="AK209" s="5">
        <v>3142.0</v>
      </c>
      <c r="AL209" s="5">
        <v>2966.0</v>
      </c>
      <c r="AM209" s="5">
        <v>299726.0</v>
      </c>
      <c r="AN209" s="5">
        <v>29982.0</v>
      </c>
      <c r="AO209" s="5">
        <v>30038.0</v>
      </c>
      <c r="AP209" s="5">
        <v>29708.0</v>
      </c>
      <c r="AQ209" s="5">
        <v>29421.0</v>
      </c>
      <c r="AR209" s="5">
        <v>25783.0</v>
      </c>
      <c r="AS209" s="5">
        <v>22278.0</v>
      </c>
      <c r="AT209" s="5">
        <v>19996.0</v>
      </c>
      <c r="AU209" s="5">
        <v>17609.0</v>
      </c>
      <c r="AV209" s="5">
        <v>16019.0</v>
      </c>
      <c r="AW209" s="5">
        <v>14508.0</v>
      </c>
      <c r="AX209" s="5">
        <v>14029.0</v>
      </c>
      <c r="AY209" s="5">
        <v>12768.0</v>
      </c>
      <c r="AZ209" s="5">
        <v>11071.0</v>
      </c>
      <c r="BA209" s="5">
        <v>8628.0</v>
      </c>
      <c r="BB209" s="5">
        <v>6555.0</v>
      </c>
      <c r="BC209" s="5">
        <v>5016.0</v>
      </c>
      <c r="BD209" s="5">
        <v>6317.0</v>
      </c>
      <c r="BE209" s="4"/>
      <c r="BF209" s="4"/>
      <c r="BG209" s="4"/>
      <c r="BH209" s="4"/>
      <c r="BI209" s="4"/>
      <c r="BJ209" s="4"/>
    </row>
    <row r="210">
      <c r="A210" s="5"/>
      <c r="B210" s="5" t="s">
        <v>166</v>
      </c>
      <c r="C210" s="5">
        <v>803879.0</v>
      </c>
      <c r="D210" s="5">
        <v>73914.0</v>
      </c>
      <c r="E210" s="5">
        <v>74989.0</v>
      </c>
      <c r="F210" s="5">
        <v>76921.0</v>
      </c>
      <c r="G210" s="5">
        <v>77690.0</v>
      </c>
      <c r="H210" s="5">
        <v>74044.0</v>
      </c>
      <c r="I210" s="5">
        <v>65711.0</v>
      </c>
      <c r="J210" s="5">
        <v>57105.0</v>
      </c>
      <c r="K210" s="5">
        <v>51054.0</v>
      </c>
      <c r="L210" s="5">
        <v>47160.0</v>
      </c>
      <c r="M210" s="5">
        <v>41627.0</v>
      </c>
      <c r="N210" s="5">
        <v>39353.0</v>
      </c>
      <c r="O210" s="5">
        <v>34915.0</v>
      </c>
      <c r="P210" s="5">
        <v>29681.0</v>
      </c>
      <c r="Q210" s="5">
        <v>22640.0</v>
      </c>
      <c r="R210" s="5">
        <v>15152.0</v>
      </c>
      <c r="S210" s="5">
        <v>10409.0</v>
      </c>
      <c r="T210" s="5">
        <v>11514.0</v>
      </c>
      <c r="U210" s="5">
        <v>408201.0</v>
      </c>
      <c r="V210" s="5">
        <v>38055.0</v>
      </c>
      <c r="W210" s="5">
        <v>38796.0</v>
      </c>
      <c r="X210" s="5">
        <v>40062.0</v>
      </c>
      <c r="Y210" s="5">
        <v>39725.0</v>
      </c>
      <c r="Z210" s="5">
        <v>38026.0</v>
      </c>
      <c r="AA210" s="5">
        <v>33988.0</v>
      </c>
      <c r="AB210" s="5">
        <v>30095.0</v>
      </c>
      <c r="AC210" s="5">
        <v>26944.0</v>
      </c>
      <c r="AD210" s="5">
        <v>24913.0</v>
      </c>
      <c r="AE210" s="5">
        <v>21747.0</v>
      </c>
      <c r="AF210" s="5">
        <v>19903.0</v>
      </c>
      <c r="AG210" s="5">
        <v>17542.0</v>
      </c>
      <c r="AH210" s="5">
        <v>14229.0</v>
      </c>
      <c r="AI210" s="5">
        <v>10362.0</v>
      </c>
      <c r="AJ210" s="5">
        <v>6394.0</v>
      </c>
      <c r="AK210" s="5">
        <v>3922.0</v>
      </c>
      <c r="AL210" s="5">
        <v>3498.0</v>
      </c>
      <c r="AM210" s="5">
        <v>395678.0</v>
      </c>
      <c r="AN210" s="5">
        <v>35859.0</v>
      </c>
      <c r="AO210" s="5">
        <v>36193.0</v>
      </c>
      <c r="AP210" s="5">
        <v>36859.0</v>
      </c>
      <c r="AQ210" s="5">
        <v>37965.0</v>
      </c>
      <c r="AR210" s="5">
        <v>36018.0</v>
      </c>
      <c r="AS210" s="5">
        <v>31723.0</v>
      </c>
      <c r="AT210" s="5">
        <v>27010.0</v>
      </c>
      <c r="AU210" s="5">
        <v>24110.0</v>
      </c>
      <c r="AV210" s="5">
        <v>22247.0</v>
      </c>
      <c r="AW210" s="5">
        <v>19880.0</v>
      </c>
      <c r="AX210" s="5">
        <v>19450.0</v>
      </c>
      <c r="AY210" s="5">
        <v>17373.0</v>
      </c>
      <c r="AZ210" s="5">
        <v>15452.0</v>
      </c>
      <c r="BA210" s="5">
        <v>12278.0</v>
      </c>
      <c r="BB210" s="5">
        <v>8758.0</v>
      </c>
      <c r="BC210" s="5">
        <v>6487.0</v>
      </c>
      <c r="BD210" s="5">
        <v>8016.0</v>
      </c>
      <c r="BE210" s="4"/>
      <c r="BF210" s="4"/>
      <c r="BG210" s="4"/>
      <c r="BH210" s="4"/>
      <c r="BI210" s="4"/>
      <c r="BJ210" s="4"/>
    </row>
    <row r="211">
      <c r="A211" s="5"/>
      <c r="B211" s="5" t="s">
        <v>167</v>
      </c>
      <c r="C211" s="5">
        <v>187576.0</v>
      </c>
      <c r="D211" s="5">
        <v>17749.0</v>
      </c>
      <c r="E211" s="5">
        <v>18190.0</v>
      </c>
      <c r="F211" s="5">
        <v>17810.0</v>
      </c>
      <c r="G211" s="5">
        <v>16914.0</v>
      </c>
      <c r="H211" s="5">
        <v>15980.0</v>
      </c>
      <c r="I211" s="5">
        <v>15106.0</v>
      </c>
      <c r="J211" s="5">
        <v>14172.0</v>
      </c>
      <c r="K211" s="5">
        <v>12847.0</v>
      </c>
      <c r="L211" s="5">
        <v>11234.0</v>
      </c>
      <c r="M211" s="5">
        <v>9970.0</v>
      </c>
      <c r="N211" s="5">
        <v>8866.0</v>
      </c>
      <c r="O211" s="5">
        <v>8083.0</v>
      </c>
      <c r="P211" s="5">
        <v>6920.0</v>
      </c>
      <c r="Q211" s="5">
        <v>5093.0</v>
      </c>
      <c r="R211" s="5">
        <v>3502.0</v>
      </c>
      <c r="S211" s="5">
        <v>2315.0</v>
      </c>
      <c r="T211" s="5">
        <v>2825.0</v>
      </c>
      <c r="U211" s="5">
        <v>96174.0</v>
      </c>
      <c r="V211" s="5">
        <v>9177.0</v>
      </c>
      <c r="W211" s="5">
        <v>9435.0</v>
      </c>
      <c r="X211" s="5">
        <v>9139.0</v>
      </c>
      <c r="Y211" s="5">
        <v>8689.0</v>
      </c>
      <c r="Z211" s="5">
        <v>8398.0</v>
      </c>
      <c r="AA211" s="5">
        <v>7698.0</v>
      </c>
      <c r="AB211" s="5">
        <v>7355.0</v>
      </c>
      <c r="AC211" s="5">
        <v>6819.0</v>
      </c>
      <c r="AD211" s="5">
        <v>6083.0</v>
      </c>
      <c r="AE211" s="5">
        <v>5201.0</v>
      </c>
      <c r="AF211" s="5">
        <v>4589.0</v>
      </c>
      <c r="AG211" s="5">
        <v>4098.0</v>
      </c>
      <c r="AH211" s="5">
        <v>3486.0</v>
      </c>
      <c r="AI211" s="5">
        <v>2504.0</v>
      </c>
      <c r="AJ211" s="5">
        <v>1575.0</v>
      </c>
      <c r="AK211" s="5">
        <v>965.0</v>
      </c>
      <c r="AL211" s="5">
        <v>963.0</v>
      </c>
      <c r="AM211" s="5">
        <v>91402.0</v>
      </c>
      <c r="AN211" s="5">
        <v>8572.0</v>
      </c>
      <c r="AO211" s="5">
        <v>8755.0</v>
      </c>
      <c r="AP211" s="5">
        <v>8671.0</v>
      </c>
      <c r="AQ211" s="5">
        <v>8225.0</v>
      </c>
      <c r="AR211" s="5">
        <v>7582.0</v>
      </c>
      <c r="AS211" s="5">
        <v>7408.0</v>
      </c>
      <c r="AT211" s="5">
        <v>6817.0</v>
      </c>
      <c r="AU211" s="5">
        <v>6028.0</v>
      </c>
      <c r="AV211" s="5">
        <v>5151.0</v>
      </c>
      <c r="AW211" s="5">
        <v>4769.0</v>
      </c>
      <c r="AX211" s="5">
        <v>4277.0</v>
      </c>
      <c r="AY211" s="5">
        <v>3985.0</v>
      </c>
      <c r="AZ211" s="5">
        <v>3434.0</v>
      </c>
      <c r="BA211" s="5">
        <v>2589.0</v>
      </c>
      <c r="BB211" s="5">
        <v>1927.0</v>
      </c>
      <c r="BC211" s="5">
        <v>1350.0</v>
      </c>
      <c r="BD211" s="5">
        <v>1862.0</v>
      </c>
      <c r="BE211" s="4"/>
      <c r="BF211" s="4"/>
      <c r="BG211" s="4"/>
      <c r="BH211" s="4"/>
      <c r="BI211" s="4"/>
      <c r="BJ211" s="4"/>
    </row>
    <row r="212">
      <c r="A212" s="5"/>
      <c r="B212" s="5" t="s">
        <v>168</v>
      </c>
      <c r="C212" s="5">
        <v>2048039.0</v>
      </c>
      <c r="D212" s="5">
        <v>186638.0</v>
      </c>
      <c r="E212" s="5">
        <v>198335.0</v>
      </c>
      <c r="F212" s="5">
        <v>201326.0</v>
      </c>
      <c r="G212" s="5">
        <v>193780.0</v>
      </c>
      <c r="H212" s="5">
        <v>176892.0</v>
      </c>
      <c r="I212" s="5">
        <v>161304.0</v>
      </c>
      <c r="J212" s="5">
        <v>149759.0</v>
      </c>
      <c r="K212" s="5">
        <v>133513.0</v>
      </c>
      <c r="L212" s="5">
        <v>121074.0</v>
      </c>
      <c r="M212" s="5">
        <v>106080.0</v>
      </c>
      <c r="N212" s="5">
        <v>98971.0</v>
      </c>
      <c r="O212" s="5">
        <v>87513.0</v>
      </c>
      <c r="P212" s="5">
        <v>74482.0</v>
      </c>
      <c r="Q212" s="5">
        <v>57109.0</v>
      </c>
      <c r="R212" s="5">
        <v>40859.0</v>
      </c>
      <c r="S212" s="5">
        <v>27755.0</v>
      </c>
      <c r="T212" s="5">
        <v>32649.0</v>
      </c>
      <c r="U212" s="5">
        <v>1042387.0</v>
      </c>
      <c r="V212" s="5">
        <v>96340.0</v>
      </c>
      <c r="W212" s="5">
        <v>103426.0</v>
      </c>
      <c r="X212" s="5">
        <v>104344.0</v>
      </c>
      <c r="Y212" s="5">
        <v>100165.0</v>
      </c>
      <c r="Z212" s="5">
        <v>91409.0</v>
      </c>
      <c r="AA212" s="5">
        <v>83870.0</v>
      </c>
      <c r="AB212" s="5">
        <v>78456.0</v>
      </c>
      <c r="AC212" s="5">
        <v>70039.0</v>
      </c>
      <c r="AD212" s="5">
        <v>63923.0</v>
      </c>
      <c r="AE212" s="5">
        <v>55110.0</v>
      </c>
      <c r="AF212" s="5">
        <v>50472.0</v>
      </c>
      <c r="AG212" s="5">
        <v>43921.0</v>
      </c>
      <c r="AH212" s="5">
        <v>36095.0</v>
      </c>
      <c r="AI212" s="5">
        <v>26383.0</v>
      </c>
      <c r="AJ212" s="5">
        <v>17269.0</v>
      </c>
      <c r="AK212" s="5">
        <v>10687.0</v>
      </c>
      <c r="AL212" s="5">
        <v>10478.0</v>
      </c>
      <c r="AM212" s="5">
        <v>1005652.0</v>
      </c>
      <c r="AN212" s="5">
        <v>90298.0</v>
      </c>
      <c r="AO212" s="5">
        <v>94909.0</v>
      </c>
      <c r="AP212" s="5">
        <v>96982.0</v>
      </c>
      <c r="AQ212" s="5">
        <v>93615.0</v>
      </c>
      <c r="AR212" s="5">
        <v>85483.0</v>
      </c>
      <c r="AS212" s="5">
        <v>77434.0</v>
      </c>
      <c r="AT212" s="5">
        <v>71303.0</v>
      </c>
      <c r="AU212" s="5">
        <v>63474.0</v>
      </c>
      <c r="AV212" s="5">
        <v>57151.0</v>
      </c>
      <c r="AW212" s="5">
        <v>50970.0</v>
      </c>
      <c r="AX212" s="5">
        <v>48499.0</v>
      </c>
      <c r="AY212" s="5">
        <v>43592.0</v>
      </c>
      <c r="AZ212" s="5">
        <v>38387.0</v>
      </c>
      <c r="BA212" s="5">
        <v>30726.0</v>
      </c>
      <c r="BB212" s="5">
        <v>23590.0</v>
      </c>
      <c r="BC212" s="5">
        <v>17068.0</v>
      </c>
      <c r="BD212" s="5">
        <v>22171.0</v>
      </c>
      <c r="BE212" s="4"/>
      <c r="BF212" s="4"/>
      <c r="BG212" s="4"/>
      <c r="BH212" s="4"/>
      <c r="BI212" s="4"/>
      <c r="BJ212" s="4"/>
    </row>
    <row r="213">
      <c r="A213" s="5"/>
      <c r="B213" s="5" t="s">
        <v>169</v>
      </c>
      <c r="C213" s="5">
        <v>2618672.0</v>
      </c>
      <c r="D213" s="5">
        <v>265646.0</v>
      </c>
      <c r="E213" s="5">
        <v>279529.0</v>
      </c>
      <c r="F213" s="5">
        <v>277991.0</v>
      </c>
      <c r="G213" s="5">
        <v>260072.0</v>
      </c>
      <c r="H213" s="5">
        <v>224217.0</v>
      </c>
      <c r="I213" s="5">
        <v>206392.0</v>
      </c>
      <c r="J213" s="5">
        <v>181446.0</v>
      </c>
      <c r="K213" s="5">
        <v>159528.0</v>
      </c>
      <c r="L213" s="5">
        <v>145139.0</v>
      </c>
      <c r="M213" s="5">
        <v>132853.0</v>
      </c>
      <c r="N213" s="5">
        <v>122452.0</v>
      </c>
      <c r="O213" s="5">
        <v>108995.0</v>
      </c>
      <c r="P213" s="5">
        <v>90307.0</v>
      </c>
      <c r="Q213" s="5">
        <v>66304.0</v>
      </c>
      <c r="R213" s="5">
        <v>41579.0</v>
      </c>
      <c r="S213" s="5">
        <v>28036.0</v>
      </c>
      <c r="T213" s="5">
        <v>28186.0</v>
      </c>
      <c r="U213" s="5">
        <v>1337724.0</v>
      </c>
      <c r="V213" s="5">
        <v>137171.0</v>
      </c>
      <c r="W213" s="5">
        <v>145269.0</v>
      </c>
      <c r="X213" s="5">
        <v>143664.0</v>
      </c>
      <c r="Y213" s="5">
        <v>133621.0</v>
      </c>
      <c r="Z213" s="5">
        <v>115738.0</v>
      </c>
      <c r="AA213" s="5">
        <v>106624.0</v>
      </c>
      <c r="AB213" s="5">
        <v>95787.0</v>
      </c>
      <c r="AC213" s="5">
        <v>84600.0</v>
      </c>
      <c r="AD213" s="5">
        <v>76610.0</v>
      </c>
      <c r="AE213" s="5">
        <v>68336.0</v>
      </c>
      <c r="AF213" s="5">
        <v>62281.0</v>
      </c>
      <c r="AG213" s="5">
        <v>54750.0</v>
      </c>
      <c r="AH213" s="5">
        <v>43740.0</v>
      </c>
      <c r="AI213" s="5">
        <v>31060.0</v>
      </c>
      <c r="AJ213" s="5">
        <v>18174.0</v>
      </c>
      <c r="AK213" s="5">
        <v>10850.0</v>
      </c>
      <c r="AL213" s="5">
        <v>9449.0</v>
      </c>
      <c r="AM213" s="5">
        <v>1280948.0</v>
      </c>
      <c r="AN213" s="5">
        <v>128475.0</v>
      </c>
      <c r="AO213" s="5">
        <v>134260.0</v>
      </c>
      <c r="AP213" s="5">
        <v>134327.0</v>
      </c>
      <c r="AQ213" s="5">
        <v>126451.0</v>
      </c>
      <c r="AR213" s="5">
        <v>108479.0</v>
      </c>
      <c r="AS213" s="5">
        <v>99768.0</v>
      </c>
      <c r="AT213" s="5">
        <v>85659.0</v>
      </c>
      <c r="AU213" s="5">
        <v>74928.0</v>
      </c>
      <c r="AV213" s="5">
        <v>68529.0</v>
      </c>
      <c r="AW213" s="5">
        <v>64517.0</v>
      </c>
      <c r="AX213" s="5">
        <v>60171.0</v>
      </c>
      <c r="AY213" s="5">
        <v>54245.0</v>
      </c>
      <c r="AZ213" s="5">
        <v>46567.0</v>
      </c>
      <c r="BA213" s="5">
        <v>35244.0</v>
      </c>
      <c r="BB213" s="5">
        <v>23405.0</v>
      </c>
      <c r="BC213" s="5">
        <v>17186.0</v>
      </c>
      <c r="BD213" s="5">
        <v>18737.0</v>
      </c>
      <c r="BE213" s="4"/>
      <c r="BF213" s="4"/>
      <c r="BG213" s="4"/>
      <c r="BH213" s="4"/>
      <c r="BI213" s="4"/>
      <c r="BJ213" s="4"/>
    </row>
    <row r="214">
      <c r="A214" s="5"/>
      <c r="B214" s="5" t="s">
        <v>170</v>
      </c>
      <c r="C214" s="5">
        <v>597615.0</v>
      </c>
      <c r="D214" s="5">
        <v>54279.0</v>
      </c>
      <c r="E214" s="5">
        <v>55170.0</v>
      </c>
      <c r="F214" s="5">
        <v>55872.0</v>
      </c>
      <c r="G214" s="5">
        <v>55429.0</v>
      </c>
      <c r="H214" s="5">
        <v>54927.0</v>
      </c>
      <c r="I214" s="5">
        <v>50345.0</v>
      </c>
      <c r="J214" s="5">
        <v>45123.0</v>
      </c>
      <c r="K214" s="5">
        <v>40913.0</v>
      </c>
      <c r="L214" s="5">
        <v>37243.0</v>
      </c>
      <c r="M214" s="5">
        <v>32529.0</v>
      </c>
      <c r="N214" s="5">
        <v>29615.0</v>
      </c>
      <c r="O214" s="5">
        <v>25168.0</v>
      </c>
      <c r="P214" s="5">
        <v>21704.0</v>
      </c>
      <c r="Q214" s="5">
        <v>16213.0</v>
      </c>
      <c r="R214" s="5">
        <v>10478.0</v>
      </c>
      <c r="S214" s="5">
        <v>6192.0</v>
      </c>
      <c r="T214" s="5">
        <v>6415.0</v>
      </c>
      <c r="U214" s="5">
        <v>296351.0</v>
      </c>
      <c r="V214" s="5">
        <v>28013.0</v>
      </c>
      <c r="W214" s="5">
        <v>28747.0</v>
      </c>
      <c r="X214" s="5">
        <v>28842.0</v>
      </c>
      <c r="Y214" s="5">
        <v>27687.0</v>
      </c>
      <c r="Z214" s="5">
        <v>27334.0</v>
      </c>
      <c r="AA214" s="5">
        <v>25309.0</v>
      </c>
      <c r="AB214" s="5">
        <v>22963.0</v>
      </c>
      <c r="AC214" s="5">
        <v>20849.0</v>
      </c>
      <c r="AD214" s="5">
        <v>18742.0</v>
      </c>
      <c r="AE214" s="5">
        <v>16279.0</v>
      </c>
      <c r="AF214" s="5">
        <v>14432.0</v>
      </c>
      <c r="AG214" s="5">
        <v>12068.0</v>
      </c>
      <c r="AH214" s="5">
        <v>9757.0</v>
      </c>
      <c r="AI214" s="5">
        <v>7000.0</v>
      </c>
      <c r="AJ214" s="5">
        <v>4277.0</v>
      </c>
      <c r="AK214" s="5">
        <v>2216.0</v>
      </c>
      <c r="AL214" s="5">
        <v>1836.0</v>
      </c>
      <c r="AM214" s="5">
        <v>301264.0</v>
      </c>
      <c r="AN214" s="5">
        <v>26266.0</v>
      </c>
      <c r="AO214" s="5">
        <v>26423.0</v>
      </c>
      <c r="AP214" s="5">
        <v>27030.0</v>
      </c>
      <c r="AQ214" s="5">
        <v>27742.0</v>
      </c>
      <c r="AR214" s="5">
        <v>27593.0</v>
      </c>
      <c r="AS214" s="5">
        <v>25036.0</v>
      </c>
      <c r="AT214" s="5">
        <v>22160.0</v>
      </c>
      <c r="AU214" s="5">
        <v>20064.0</v>
      </c>
      <c r="AV214" s="5">
        <v>18501.0</v>
      </c>
      <c r="AW214" s="5">
        <v>16250.0</v>
      </c>
      <c r="AX214" s="5">
        <v>15183.0</v>
      </c>
      <c r="AY214" s="5">
        <v>13100.0</v>
      </c>
      <c r="AZ214" s="5">
        <v>11947.0</v>
      </c>
      <c r="BA214" s="5">
        <v>9213.0</v>
      </c>
      <c r="BB214" s="5">
        <v>6201.0</v>
      </c>
      <c r="BC214" s="5">
        <v>3976.0</v>
      </c>
      <c r="BD214" s="5">
        <v>4579.0</v>
      </c>
      <c r="BE214" s="4"/>
      <c r="BF214" s="4"/>
      <c r="BG214" s="4"/>
      <c r="BH214" s="4"/>
      <c r="BI214" s="4"/>
      <c r="BJ214" s="4"/>
    </row>
    <row r="215">
      <c r="A215" s="5"/>
      <c r="B215" s="5" t="s">
        <v>171</v>
      </c>
      <c r="C215" s="5">
        <v>455287.0</v>
      </c>
      <c r="D215" s="5">
        <v>44702.0</v>
      </c>
      <c r="E215" s="5">
        <v>42530.0</v>
      </c>
      <c r="F215" s="5">
        <v>40026.0</v>
      </c>
      <c r="G215" s="5">
        <v>38277.0</v>
      </c>
      <c r="H215" s="5">
        <v>42349.0</v>
      </c>
      <c r="I215" s="5">
        <v>39169.0</v>
      </c>
      <c r="J215" s="5">
        <v>34973.0</v>
      </c>
      <c r="K215" s="5">
        <v>31784.0</v>
      </c>
      <c r="L215" s="5">
        <v>28523.0</v>
      </c>
      <c r="M215" s="5">
        <v>23992.0</v>
      </c>
      <c r="N215" s="5">
        <v>22214.0</v>
      </c>
      <c r="O215" s="5">
        <v>19583.0</v>
      </c>
      <c r="P215" s="5">
        <v>16511.0</v>
      </c>
      <c r="Q215" s="5">
        <v>12229.0</v>
      </c>
      <c r="R215" s="5">
        <v>8099.0</v>
      </c>
      <c r="S215" s="5">
        <v>4806.0</v>
      </c>
      <c r="T215" s="5">
        <v>5520.0</v>
      </c>
      <c r="U215" s="5">
        <v>225582.0</v>
      </c>
      <c r="V215" s="5">
        <v>22877.0</v>
      </c>
      <c r="W215" s="5">
        <v>21952.0</v>
      </c>
      <c r="X215" s="5">
        <v>20643.0</v>
      </c>
      <c r="Y215" s="5">
        <v>19372.0</v>
      </c>
      <c r="Z215" s="5">
        <v>21143.0</v>
      </c>
      <c r="AA215" s="5">
        <v>19714.0</v>
      </c>
      <c r="AB215" s="5">
        <v>17911.0</v>
      </c>
      <c r="AC215" s="5">
        <v>16140.0</v>
      </c>
      <c r="AD215" s="5">
        <v>14547.0</v>
      </c>
      <c r="AE215" s="5">
        <v>12033.0</v>
      </c>
      <c r="AF215" s="5">
        <v>10758.0</v>
      </c>
      <c r="AG215" s="5">
        <v>9228.0</v>
      </c>
      <c r="AH215" s="5">
        <v>7488.0</v>
      </c>
      <c r="AI215" s="5">
        <v>5309.0</v>
      </c>
      <c r="AJ215" s="5">
        <v>3226.0</v>
      </c>
      <c r="AK215" s="5">
        <v>1683.0</v>
      </c>
      <c r="AL215" s="5">
        <v>1558.0</v>
      </c>
      <c r="AM215" s="5">
        <v>229705.0</v>
      </c>
      <c r="AN215" s="5">
        <v>21825.0</v>
      </c>
      <c r="AO215" s="5">
        <v>20578.0</v>
      </c>
      <c r="AP215" s="5">
        <v>19383.0</v>
      </c>
      <c r="AQ215" s="5">
        <v>18905.0</v>
      </c>
      <c r="AR215" s="5">
        <v>21206.0</v>
      </c>
      <c r="AS215" s="5">
        <v>19455.0</v>
      </c>
      <c r="AT215" s="5">
        <v>17062.0</v>
      </c>
      <c r="AU215" s="5">
        <v>15644.0</v>
      </c>
      <c r="AV215" s="5">
        <v>13976.0</v>
      </c>
      <c r="AW215" s="5">
        <v>11959.0</v>
      </c>
      <c r="AX215" s="5">
        <v>11456.0</v>
      </c>
      <c r="AY215" s="5">
        <v>10355.0</v>
      </c>
      <c r="AZ215" s="5">
        <v>9023.0</v>
      </c>
      <c r="BA215" s="5">
        <v>6920.0</v>
      </c>
      <c r="BB215" s="5">
        <v>4873.0</v>
      </c>
      <c r="BC215" s="5">
        <v>3123.0</v>
      </c>
      <c r="BD215" s="5">
        <v>3962.0</v>
      </c>
      <c r="BE215" s="4"/>
      <c r="BF215" s="4"/>
      <c r="BG215" s="4"/>
      <c r="BH215" s="4"/>
      <c r="BI215" s="4"/>
      <c r="BJ215" s="4"/>
    </row>
    <row r="216">
      <c r="A216" s="5"/>
      <c r="B216" s="5" t="s">
        <v>172</v>
      </c>
      <c r="C216" s="5">
        <v>8046285.0</v>
      </c>
      <c r="D216" s="5">
        <v>818141.0</v>
      </c>
      <c r="E216" s="5">
        <v>830817.0</v>
      </c>
      <c r="F216" s="5">
        <v>811557.0</v>
      </c>
      <c r="G216" s="5">
        <v>777388.0</v>
      </c>
      <c r="H216" s="5">
        <v>734870.0</v>
      </c>
      <c r="I216" s="5">
        <v>688051.0</v>
      </c>
      <c r="J216" s="5">
        <v>597437.0</v>
      </c>
      <c r="K216" s="5">
        <v>519606.0</v>
      </c>
      <c r="L216" s="5">
        <v>461649.0</v>
      </c>
      <c r="M216" s="5">
        <v>404475.0</v>
      </c>
      <c r="N216" s="5">
        <v>356375.0</v>
      </c>
      <c r="O216" s="5">
        <v>311361.0</v>
      </c>
      <c r="P216" s="5">
        <v>254829.0</v>
      </c>
      <c r="Q216" s="5">
        <v>189437.0</v>
      </c>
      <c r="R216" s="5">
        <v>125864.0</v>
      </c>
      <c r="S216" s="5">
        <v>82159.0</v>
      </c>
      <c r="T216" s="5">
        <v>82269.0</v>
      </c>
      <c r="U216" s="5">
        <v>4081138.0</v>
      </c>
      <c r="V216" s="5">
        <v>423959.0</v>
      </c>
      <c r="W216" s="5">
        <v>431637.0</v>
      </c>
      <c r="X216" s="5">
        <v>419576.0</v>
      </c>
      <c r="Y216" s="5">
        <v>397400.0</v>
      </c>
      <c r="Z216" s="5">
        <v>373697.0</v>
      </c>
      <c r="AA216" s="5">
        <v>350216.0</v>
      </c>
      <c r="AB216" s="5">
        <v>308209.0</v>
      </c>
      <c r="AC216" s="5">
        <v>268314.0</v>
      </c>
      <c r="AD216" s="5">
        <v>237155.0</v>
      </c>
      <c r="AE216" s="5">
        <v>206045.0</v>
      </c>
      <c r="AF216" s="5">
        <v>179404.0</v>
      </c>
      <c r="AG216" s="5">
        <v>155191.0</v>
      </c>
      <c r="AH216" s="5">
        <v>123750.0</v>
      </c>
      <c r="AI216" s="5">
        <v>88553.0</v>
      </c>
      <c r="AJ216" s="5">
        <v>55714.0</v>
      </c>
      <c r="AK216" s="5">
        <v>33456.0</v>
      </c>
      <c r="AL216" s="5">
        <v>28862.0</v>
      </c>
      <c r="AM216" s="5">
        <v>3965147.0</v>
      </c>
      <c r="AN216" s="5">
        <v>394182.0</v>
      </c>
      <c r="AO216" s="5">
        <v>399180.0</v>
      </c>
      <c r="AP216" s="5">
        <v>391981.0</v>
      </c>
      <c r="AQ216" s="5">
        <v>379988.0</v>
      </c>
      <c r="AR216" s="5">
        <v>361173.0</v>
      </c>
      <c r="AS216" s="5">
        <v>337835.0</v>
      </c>
      <c r="AT216" s="5">
        <v>289228.0</v>
      </c>
      <c r="AU216" s="5">
        <v>251292.0</v>
      </c>
      <c r="AV216" s="5">
        <v>224494.0</v>
      </c>
      <c r="AW216" s="5">
        <v>198430.0</v>
      </c>
      <c r="AX216" s="5">
        <v>176971.0</v>
      </c>
      <c r="AY216" s="5">
        <v>156170.0</v>
      </c>
      <c r="AZ216" s="5">
        <v>131079.0</v>
      </c>
      <c r="BA216" s="5">
        <v>100884.0</v>
      </c>
      <c r="BB216" s="5">
        <v>70150.0</v>
      </c>
      <c r="BC216" s="5">
        <v>48703.0</v>
      </c>
      <c r="BD216" s="5">
        <v>53407.0</v>
      </c>
      <c r="BE216" s="4"/>
      <c r="BF216" s="4"/>
      <c r="BG216" s="4"/>
      <c r="BH216" s="4"/>
      <c r="BI216" s="4"/>
      <c r="BJ216" s="4"/>
    </row>
    <row r="217">
      <c r="A217" s="5"/>
      <c r="B217" s="5" t="s">
        <v>173</v>
      </c>
      <c r="C217" s="5">
        <v>1390524.0</v>
      </c>
      <c r="D217" s="5">
        <v>132580.0</v>
      </c>
      <c r="E217" s="5">
        <v>138284.0</v>
      </c>
      <c r="F217" s="5">
        <v>141748.0</v>
      </c>
      <c r="G217" s="5">
        <v>142232.0</v>
      </c>
      <c r="H217" s="5">
        <v>116766.0</v>
      </c>
      <c r="I217" s="5">
        <v>102699.0</v>
      </c>
      <c r="J217" s="5">
        <v>93664.0</v>
      </c>
      <c r="K217" s="5">
        <v>84031.0</v>
      </c>
      <c r="L217" s="5">
        <v>78813.0</v>
      </c>
      <c r="M217" s="5">
        <v>72768.0</v>
      </c>
      <c r="N217" s="5">
        <v>66695.0</v>
      </c>
      <c r="O217" s="5">
        <v>59376.0</v>
      </c>
      <c r="P217" s="5">
        <v>50666.0</v>
      </c>
      <c r="Q217" s="5">
        <v>37716.0</v>
      </c>
      <c r="R217" s="5">
        <v>28982.0</v>
      </c>
      <c r="S217" s="5">
        <v>21348.0</v>
      </c>
      <c r="T217" s="5">
        <v>22156.0</v>
      </c>
      <c r="U217" s="5">
        <v>707896.0</v>
      </c>
      <c r="V217" s="5">
        <v>68723.0</v>
      </c>
      <c r="W217" s="5">
        <v>72209.0</v>
      </c>
      <c r="X217" s="5">
        <v>73482.0</v>
      </c>
      <c r="Y217" s="5">
        <v>73397.0</v>
      </c>
      <c r="Z217" s="5">
        <v>60662.0</v>
      </c>
      <c r="AA217" s="5">
        <v>52944.0</v>
      </c>
      <c r="AB217" s="5">
        <v>48448.0</v>
      </c>
      <c r="AC217" s="5">
        <v>43577.0</v>
      </c>
      <c r="AD217" s="5">
        <v>40977.0</v>
      </c>
      <c r="AE217" s="5">
        <v>37547.0</v>
      </c>
      <c r="AF217" s="5">
        <v>33985.0</v>
      </c>
      <c r="AG217" s="5">
        <v>29846.0</v>
      </c>
      <c r="AH217" s="5">
        <v>24955.0</v>
      </c>
      <c r="AI217" s="5">
        <v>17716.0</v>
      </c>
      <c r="AJ217" s="5">
        <v>12855.0</v>
      </c>
      <c r="AK217" s="5">
        <v>8718.0</v>
      </c>
      <c r="AL217" s="5">
        <v>7855.0</v>
      </c>
      <c r="AM217" s="5">
        <v>682628.0</v>
      </c>
      <c r="AN217" s="5">
        <v>63857.0</v>
      </c>
      <c r="AO217" s="5">
        <v>66075.0</v>
      </c>
      <c r="AP217" s="5">
        <v>68266.0</v>
      </c>
      <c r="AQ217" s="5">
        <v>68835.0</v>
      </c>
      <c r="AR217" s="5">
        <v>56104.0</v>
      </c>
      <c r="AS217" s="5">
        <v>49755.0</v>
      </c>
      <c r="AT217" s="5">
        <v>45216.0</v>
      </c>
      <c r="AU217" s="5">
        <v>40454.0</v>
      </c>
      <c r="AV217" s="5">
        <v>37836.0</v>
      </c>
      <c r="AW217" s="5">
        <v>35221.0</v>
      </c>
      <c r="AX217" s="5">
        <v>32710.0</v>
      </c>
      <c r="AY217" s="5">
        <v>29530.0</v>
      </c>
      <c r="AZ217" s="5">
        <v>25711.0</v>
      </c>
      <c r="BA217" s="5">
        <v>20000.0</v>
      </c>
      <c r="BB217" s="5">
        <v>16127.0</v>
      </c>
      <c r="BC217" s="5">
        <v>12630.0</v>
      </c>
      <c r="BD217" s="5">
        <v>14301.0</v>
      </c>
      <c r="BE217" s="4"/>
      <c r="BF217" s="4"/>
      <c r="BG217" s="4"/>
      <c r="BH217" s="4"/>
      <c r="BI217" s="4"/>
      <c r="BJ217" s="4"/>
    </row>
    <row r="218">
      <c r="A218" s="5"/>
      <c r="B218" s="5" t="s">
        <v>174</v>
      </c>
      <c r="C218" s="5">
        <v>3309850.0</v>
      </c>
      <c r="D218" s="5">
        <v>354932.0</v>
      </c>
      <c r="E218" s="5">
        <v>361115.0</v>
      </c>
      <c r="F218" s="5">
        <v>343828.0</v>
      </c>
      <c r="G218" s="5">
        <v>320928.0</v>
      </c>
      <c r="H218" s="5">
        <v>297879.0</v>
      </c>
      <c r="I218" s="5">
        <v>277627.0</v>
      </c>
      <c r="J218" s="5">
        <v>241615.0</v>
      </c>
      <c r="K218" s="5">
        <v>212166.0</v>
      </c>
      <c r="L218" s="5">
        <v>187429.0</v>
      </c>
      <c r="M218" s="5">
        <v>162226.0</v>
      </c>
      <c r="N218" s="5">
        <v>141235.0</v>
      </c>
      <c r="O218" s="5">
        <v>122830.0</v>
      </c>
      <c r="P218" s="5">
        <v>100023.0</v>
      </c>
      <c r="Q218" s="5">
        <v>75654.0</v>
      </c>
      <c r="R218" s="5">
        <v>49055.0</v>
      </c>
      <c r="S218" s="5">
        <v>31204.0</v>
      </c>
      <c r="T218" s="5">
        <v>30104.0</v>
      </c>
      <c r="U218" s="5">
        <v>1685185.0</v>
      </c>
      <c r="V218" s="5">
        <v>183887.0</v>
      </c>
      <c r="W218" s="5">
        <v>187788.0</v>
      </c>
      <c r="X218" s="5">
        <v>178283.0</v>
      </c>
      <c r="Y218" s="5">
        <v>165001.0</v>
      </c>
      <c r="Z218" s="5">
        <v>152643.0</v>
      </c>
      <c r="AA218" s="5">
        <v>141582.0</v>
      </c>
      <c r="AB218" s="5">
        <v>124679.0</v>
      </c>
      <c r="AC218" s="5">
        <v>109710.0</v>
      </c>
      <c r="AD218" s="5">
        <v>96621.0</v>
      </c>
      <c r="AE218" s="5">
        <v>83046.0</v>
      </c>
      <c r="AF218" s="5">
        <v>71498.0</v>
      </c>
      <c r="AG218" s="5">
        <v>61746.0</v>
      </c>
      <c r="AH218" s="5">
        <v>48753.0</v>
      </c>
      <c r="AI218" s="5">
        <v>35221.0</v>
      </c>
      <c r="AJ218" s="5">
        <v>21781.0</v>
      </c>
      <c r="AK218" s="5">
        <v>12579.0</v>
      </c>
      <c r="AL218" s="5">
        <v>10367.0</v>
      </c>
      <c r="AM218" s="5">
        <v>1624665.0</v>
      </c>
      <c r="AN218" s="5">
        <v>171045.0</v>
      </c>
      <c r="AO218" s="5">
        <v>173327.0</v>
      </c>
      <c r="AP218" s="5">
        <v>165545.0</v>
      </c>
      <c r="AQ218" s="5">
        <v>155927.0</v>
      </c>
      <c r="AR218" s="5">
        <v>145236.0</v>
      </c>
      <c r="AS218" s="5">
        <v>136045.0</v>
      </c>
      <c r="AT218" s="5">
        <v>116936.0</v>
      </c>
      <c r="AU218" s="5">
        <v>102456.0</v>
      </c>
      <c r="AV218" s="5">
        <v>90808.0</v>
      </c>
      <c r="AW218" s="5">
        <v>79180.0</v>
      </c>
      <c r="AX218" s="5">
        <v>69737.0</v>
      </c>
      <c r="AY218" s="5">
        <v>61084.0</v>
      </c>
      <c r="AZ218" s="5">
        <v>51270.0</v>
      </c>
      <c r="BA218" s="5">
        <v>40433.0</v>
      </c>
      <c r="BB218" s="5">
        <v>27274.0</v>
      </c>
      <c r="BC218" s="5">
        <v>18625.0</v>
      </c>
      <c r="BD218" s="5">
        <v>19737.0</v>
      </c>
      <c r="BE218" s="4"/>
      <c r="BF218" s="4"/>
      <c r="BG218" s="4"/>
      <c r="BH218" s="4"/>
      <c r="BI218" s="4"/>
      <c r="BJ218" s="4"/>
    </row>
    <row r="219">
      <c r="A219" s="5"/>
      <c r="B219" s="5" t="s">
        <v>175</v>
      </c>
      <c r="C219" s="5">
        <v>1428548.0</v>
      </c>
      <c r="D219" s="5">
        <v>144362.0</v>
      </c>
      <c r="E219" s="5">
        <v>148048.0</v>
      </c>
      <c r="F219" s="5">
        <v>145488.0</v>
      </c>
      <c r="G219" s="5">
        <v>138440.0</v>
      </c>
      <c r="H219" s="5">
        <v>124817.0</v>
      </c>
      <c r="I219" s="5">
        <v>116878.0</v>
      </c>
      <c r="J219" s="5">
        <v>100381.0</v>
      </c>
      <c r="K219" s="5">
        <v>86644.0</v>
      </c>
      <c r="L219" s="5">
        <v>77278.0</v>
      </c>
      <c r="M219" s="5">
        <v>71501.0</v>
      </c>
      <c r="N219" s="5">
        <v>65958.0</v>
      </c>
      <c r="O219" s="5">
        <v>61444.0</v>
      </c>
      <c r="P219" s="5">
        <v>50591.0</v>
      </c>
      <c r="Q219" s="5">
        <v>38906.0</v>
      </c>
      <c r="R219" s="5">
        <v>24382.0</v>
      </c>
      <c r="S219" s="5">
        <v>16122.0</v>
      </c>
      <c r="T219" s="5">
        <v>17308.0</v>
      </c>
      <c r="U219" s="5">
        <v>726883.0</v>
      </c>
      <c r="V219" s="5">
        <v>74867.0</v>
      </c>
      <c r="W219" s="5">
        <v>76626.0</v>
      </c>
      <c r="X219" s="5">
        <v>74887.0</v>
      </c>
      <c r="Y219" s="5">
        <v>70409.0</v>
      </c>
      <c r="Z219" s="5">
        <v>63566.0</v>
      </c>
      <c r="AA219" s="5">
        <v>60130.0</v>
      </c>
      <c r="AB219" s="5">
        <v>52646.0</v>
      </c>
      <c r="AC219" s="5">
        <v>45350.0</v>
      </c>
      <c r="AD219" s="5">
        <v>40042.0</v>
      </c>
      <c r="AE219" s="5">
        <v>36437.0</v>
      </c>
      <c r="AF219" s="5">
        <v>32931.0</v>
      </c>
      <c r="AG219" s="5">
        <v>30698.0</v>
      </c>
      <c r="AH219" s="5">
        <v>24788.0</v>
      </c>
      <c r="AI219" s="5">
        <v>18836.0</v>
      </c>
      <c r="AJ219" s="5">
        <v>11129.0</v>
      </c>
      <c r="AK219" s="5">
        <v>6930.0</v>
      </c>
      <c r="AL219" s="5">
        <v>6611.0</v>
      </c>
      <c r="AM219" s="5">
        <v>701665.0</v>
      </c>
      <c r="AN219" s="5">
        <v>69495.0</v>
      </c>
      <c r="AO219" s="5">
        <v>71422.0</v>
      </c>
      <c r="AP219" s="5">
        <v>70601.0</v>
      </c>
      <c r="AQ219" s="5">
        <v>68031.0</v>
      </c>
      <c r="AR219" s="5">
        <v>61251.0</v>
      </c>
      <c r="AS219" s="5">
        <v>56748.0</v>
      </c>
      <c r="AT219" s="5">
        <v>47735.0</v>
      </c>
      <c r="AU219" s="5">
        <v>41294.0</v>
      </c>
      <c r="AV219" s="5">
        <v>37236.0</v>
      </c>
      <c r="AW219" s="5">
        <v>35064.0</v>
      </c>
      <c r="AX219" s="5">
        <v>33027.0</v>
      </c>
      <c r="AY219" s="5">
        <v>30746.0</v>
      </c>
      <c r="AZ219" s="5">
        <v>25803.0</v>
      </c>
      <c r="BA219" s="5">
        <v>20070.0</v>
      </c>
      <c r="BB219" s="5">
        <v>13253.0</v>
      </c>
      <c r="BC219" s="5">
        <v>9192.0</v>
      </c>
      <c r="BD219" s="5">
        <v>10697.0</v>
      </c>
      <c r="BE219" s="4"/>
      <c r="BF219" s="4"/>
      <c r="BG219" s="4"/>
      <c r="BH219" s="4"/>
      <c r="BI219" s="4"/>
      <c r="BJ219" s="4"/>
    </row>
    <row r="220">
      <c r="A220" s="5"/>
      <c r="B220" s="5" t="s">
        <v>176</v>
      </c>
      <c r="C220" s="5">
        <v>103014.0</v>
      </c>
      <c r="D220" s="5">
        <v>8037.0</v>
      </c>
      <c r="E220" s="5">
        <v>9044.0</v>
      </c>
      <c r="F220" s="5">
        <v>9237.0</v>
      </c>
      <c r="G220" s="5">
        <v>9453.0</v>
      </c>
      <c r="H220" s="5">
        <v>8235.0</v>
      </c>
      <c r="I220" s="5">
        <v>7797.0</v>
      </c>
      <c r="J220" s="5">
        <v>7230.0</v>
      </c>
      <c r="K220" s="5">
        <v>6730.0</v>
      </c>
      <c r="L220" s="5">
        <v>6305.0</v>
      </c>
      <c r="M220" s="5">
        <v>5950.0</v>
      </c>
      <c r="N220" s="5">
        <v>5498.0</v>
      </c>
      <c r="O220" s="5">
        <v>4936.0</v>
      </c>
      <c r="P220" s="5">
        <v>4285.0</v>
      </c>
      <c r="Q220" s="5">
        <v>3466.0</v>
      </c>
      <c r="R220" s="5">
        <v>2562.0</v>
      </c>
      <c r="S220" s="5">
        <v>2076.0</v>
      </c>
      <c r="T220" s="5">
        <v>2173.0</v>
      </c>
      <c r="U220" s="5">
        <v>51916.0</v>
      </c>
      <c r="V220" s="5">
        <v>4156.0</v>
      </c>
      <c r="W220" s="5">
        <v>4589.0</v>
      </c>
      <c r="X220" s="5">
        <v>4769.0</v>
      </c>
      <c r="Y220" s="5">
        <v>4841.0</v>
      </c>
      <c r="Z220" s="5">
        <v>4242.0</v>
      </c>
      <c r="AA220" s="5">
        <v>3998.0</v>
      </c>
      <c r="AB220" s="5">
        <v>3680.0</v>
      </c>
      <c r="AC220" s="5">
        <v>3474.0</v>
      </c>
      <c r="AD220" s="5">
        <v>3265.0</v>
      </c>
      <c r="AE220" s="5">
        <v>3051.0</v>
      </c>
      <c r="AF220" s="5">
        <v>2871.0</v>
      </c>
      <c r="AG220" s="5">
        <v>2484.0</v>
      </c>
      <c r="AH220" s="5">
        <v>2077.0</v>
      </c>
      <c r="AI220" s="5">
        <v>1673.0</v>
      </c>
      <c r="AJ220" s="5">
        <v>1115.0</v>
      </c>
      <c r="AK220" s="5">
        <v>887.0</v>
      </c>
      <c r="AL220" s="5">
        <v>744.0</v>
      </c>
      <c r="AM220" s="5">
        <v>51098.0</v>
      </c>
      <c r="AN220" s="5">
        <v>3881.0</v>
      </c>
      <c r="AO220" s="5">
        <v>4455.0</v>
      </c>
      <c r="AP220" s="5">
        <v>4468.0</v>
      </c>
      <c r="AQ220" s="5">
        <v>4612.0</v>
      </c>
      <c r="AR220" s="5">
        <v>3993.0</v>
      </c>
      <c r="AS220" s="5">
        <v>3799.0</v>
      </c>
      <c r="AT220" s="5">
        <v>3550.0</v>
      </c>
      <c r="AU220" s="5">
        <v>3256.0</v>
      </c>
      <c r="AV220" s="5">
        <v>3040.0</v>
      </c>
      <c r="AW220" s="5">
        <v>2899.0</v>
      </c>
      <c r="AX220" s="5">
        <v>2627.0</v>
      </c>
      <c r="AY220" s="5">
        <v>2452.0</v>
      </c>
      <c r="AZ220" s="5">
        <v>2208.0</v>
      </c>
      <c r="BA220" s="5">
        <v>1793.0</v>
      </c>
      <c r="BB220" s="5">
        <v>1447.0</v>
      </c>
      <c r="BC220" s="5">
        <v>1189.0</v>
      </c>
      <c r="BD220" s="5">
        <v>1429.0</v>
      </c>
      <c r="BE220" s="4"/>
      <c r="BF220" s="4"/>
      <c r="BG220" s="4"/>
      <c r="BH220" s="4"/>
      <c r="BI220" s="4"/>
      <c r="BJ220" s="4"/>
    </row>
    <row r="221">
      <c r="A221" s="5"/>
      <c r="B221" s="5" t="s">
        <v>177</v>
      </c>
      <c r="C221" s="5">
        <v>958626.0</v>
      </c>
      <c r="D221" s="5">
        <v>95344.0</v>
      </c>
      <c r="E221" s="5">
        <v>92113.0</v>
      </c>
      <c r="F221" s="5">
        <v>89791.0</v>
      </c>
      <c r="G221" s="5">
        <v>89437.0</v>
      </c>
      <c r="H221" s="5">
        <v>98691.0</v>
      </c>
      <c r="I221" s="5">
        <v>93898.0</v>
      </c>
      <c r="J221" s="5">
        <v>78195.0</v>
      </c>
      <c r="K221" s="5">
        <v>65268.0</v>
      </c>
      <c r="L221" s="5">
        <v>56277.0</v>
      </c>
      <c r="M221" s="5">
        <v>47881.0</v>
      </c>
      <c r="N221" s="5">
        <v>41703.0</v>
      </c>
      <c r="O221" s="5">
        <v>35312.0</v>
      </c>
      <c r="P221" s="5">
        <v>28542.0</v>
      </c>
      <c r="Q221" s="5">
        <v>19943.0</v>
      </c>
      <c r="R221" s="5">
        <v>12521.0</v>
      </c>
      <c r="S221" s="5">
        <v>6978.0</v>
      </c>
      <c r="T221" s="5">
        <v>6732.0</v>
      </c>
      <c r="U221" s="5">
        <v>478858.0</v>
      </c>
      <c r="V221" s="5">
        <v>49130.0</v>
      </c>
      <c r="W221" s="5">
        <v>47631.0</v>
      </c>
      <c r="X221" s="5">
        <v>46233.0</v>
      </c>
      <c r="Y221" s="5">
        <v>44902.0</v>
      </c>
      <c r="Z221" s="5">
        <v>48629.0</v>
      </c>
      <c r="AA221" s="5">
        <v>47304.0</v>
      </c>
      <c r="AB221" s="5">
        <v>39997.0</v>
      </c>
      <c r="AC221" s="5">
        <v>33302.0</v>
      </c>
      <c r="AD221" s="5">
        <v>28411.0</v>
      </c>
      <c r="AE221" s="5">
        <v>23794.0</v>
      </c>
      <c r="AF221" s="5">
        <v>20320.0</v>
      </c>
      <c r="AG221" s="5">
        <v>17036.0</v>
      </c>
      <c r="AH221" s="5">
        <v>13246.0</v>
      </c>
      <c r="AI221" s="5">
        <v>8922.0</v>
      </c>
      <c r="AJ221" s="5">
        <v>5295.0</v>
      </c>
      <c r="AK221" s="5">
        <v>2641.0</v>
      </c>
      <c r="AL221" s="5">
        <v>2065.0</v>
      </c>
      <c r="AM221" s="5">
        <v>479768.0</v>
      </c>
      <c r="AN221" s="5">
        <v>46214.0</v>
      </c>
      <c r="AO221" s="5">
        <v>44482.0</v>
      </c>
      <c r="AP221" s="5">
        <v>43558.0</v>
      </c>
      <c r="AQ221" s="5">
        <v>44535.0</v>
      </c>
      <c r="AR221" s="5">
        <v>50062.0</v>
      </c>
      <c r="AS221" s="5">
        <v>46594.0</v>
      </c>
      <c r="AT221" s="5">
        <v>38198.0</v>
      </c>
      <c r="AU221" s="5">
        <v>31966.0</v>
      </c>
      <c r="AV221" s="5">
        <v>27866.0</v>
      </c>
      <c r="AW221" s="5">
        <v>24087.0</v>
      </c>
      <c r="AX221" s="5">
        <v>21383.0</v>
      </c>
      <c r="AY221" s="5">
        <v>18276.0</v>
      </c>
      <c r="AZ221" s="5">
        <v>15296.0</v>
      </c>
      <c r="BA221" s="5">
        <v>11021.0</v>
      </c>
      <c r="BB221" s="5">
        <v>7226.0</v>
      </c>
      <c r="BC221" s="5">
        <v>4337.0</v>
      </c>
      <c r="BD221" s="5">
        <v>4667.0</v>
      </c>
      <c r="BE221" s="4"/>
      <c r="BF221" s="4"/>
      <c r="BG221" s="4"/>
      <c r="BH221" s="4"/>
      <c r="BI221" s="4"/>
      <c r="BJ221" s="4"/>
    </row>
    <row r="222">
      <c r="A222" s="5"/>
      <c r="B222" s="5" t="s">
        <v>178</v>
      </c>
      <c r="C222" s="5">
        <v>494672.0</v>
      </c>
      <c r="D222" s="5">
        <v>50673.0</v>
      </c>
      <c r="E222" s="5">
        <v>50670.0</v>
      </c>
      <c r="F222" s="5">
        <v>50092.0</v>
      </c>
      <c r="G222" s="5">
        <v>45046.0</v>
      </c>
      <c r="H222" s="5">
        <v>49598.0</v>
      </c>
      <c r="I222" s="5">
        <v>49997.0</v>
      </c>
      <c r="J222" s="5">
        <v>43764.0</v>
      </c>
      <c r="K222" s="5">
        <v>37509.0</v>
      </c>
      <c r="L222" s="5">
        <v>31968.0</v>
      </c>
      <c r="M222" s="5">
        <v>24736.0</v>
      </c>
      <c r="N222" s="5">
        <v>19093.0</v>
      </c>
      <c r="O222" s="5">
        <v>14468.0</v>
      </c>
      <c r="P222" s="5">
        <v>11014.0</v>
      </c>
      <c r="Q222" s="5">
        <v>7296.0</v>
      </c>
      <c r="R222" s="5">
        <v>4538.0</v>
      </c>
      <c r="S222" s="5">
        <v>2348.0</v>
      </c>
      <c r="T222" s="5">
        <v>1862.0</v>
      </c>
      <c r="U222" s="5">
        <v>247486.0</v>
      </c>
      <c r="V222" s="5">
        <v>26305.0</v>
      </c>
      <c r="W222" s="5">
        <v>26326.0</v>
      </c>
      <c r="X222" s="5">
        <v>25821.0</v>
      </c>
      <c r="Y222" s="5">
        <v>22730.0</v>
      </c>
      <c r="Z222" s="5">
        <v>24483.0</v>
      </c>
      <c r="AA222" s="5">
        <v>24298.0</v>
      </c>
      <c r="AB222" s="5">
        <v>21767.0</v>
      </c>
      <c r="AC222" s="5">
        <v>18878.0</v>
      </c>
      <c r="AD222" s="5">
        <v>15927.0</v>
      </c>
      <c r="AE222" s="5">
        <v>12334.0</v>
      </c>
      <c r="AF222" s="5">
        <v>9599.0</v>
      </c>
      <c r="AG222" s="5">
        <v>7068.0</v>
      </c>
      <c r="AH222" s="5">
        <v>5280.0</v>
      </c>
      <c r="AI222" s="5">
        <v>3291.0</v>
      </c>
      <c r="AJ222" s="5">
        <v>1910.0</v>
      </c>
      <c r="AK222" s="5">
        <v>881.0</v>
      </c>
      <c r="AL222" s="5">
        <v>588.0</v>
      </c>
      <c r="AM222" s="5">
        <v>247186.0</v>
      </c>
      <c r="AN222" s="5">
        <v>24368.0</v>
      </c>
      <c r="AO222" s="5">
        <v>24344.0</v>
      </c>
      <c r="AP222" s="5">
        <v>24271.0</v>
      </c>
      <c r="AQ222" s="5">
        <v>22316.0</v>
      </c>
      <c r="AR222" s="5">
        <v>25115.0</v>
      </c>
      <c r="AS222" s="5">
        <v>25699.0</v>
      </c>
      <c r="AT222" s="5">
        <v>21997.0</v>
      </c>
      <c r="AU222" s="5">
        <v>18631.0</v>
      </c>
      <c r="AV222" s="5">
        <v>16041.0</v>
      </c>
      <c r="AW222" s="5">
        <v>12402.0</v>
      </c>
      <c r="AX222" s="5">
        <v>9494.0</v>
      </c>
      <c r="AY222" s="5">
        <v>7400.0</v>
      </c>
      <c r="AZ222" s="5">
        <v>5734.0</v>
      </c>
      <c r="BA222" s="5">
        <v>4005.0</v>
      </c>
      <c r="BB222" s="5">
        <v>2628.0</v>
      </c>
      <c r="BC222" s="5">
        <v>1467.0</v>
      </c>
      <c r="BD222" s="5">
        <v>1274.0</v>
      </c>
      <c r="BE222" s="4"/>
      <c r="BF222" s="4"/>
      <c r="BG222" s="4"/>
      <c r="BH222" s="4"/>
      <c r="BI222" s="4"/>
      <c r="BJ222" s="4"/>
    </row>
    <row r="223">
      <c r="A223" s="5"/>
      <c r="B223" s="5" t="s">
        <v>179</v>
      </c>
      <c r="C223" s="5">
        <v>361051.0</v>
      </c>
      <c r="D223" s="5">
        <v>32213.0</v>
      </c>
      <c r="E223" s="5">
        <v>31543.0</v>
      </c>
      <c r="F223" s="5">
        <v>31373.0</v>
      </c>
      <c r="G223" s="5">
        <v>31852.0</v>
      </c>
      <c r="H223" s="5">
        <v>38884.0</v>
      </c>
      <c r="I223" s="5">
        <v>39155.0</v>
      </c>
      <c r="J223" s="5">
        <v>32588.0</v>
      </c>
      <c r="K223" s="5">
        <v>27258.0</v>
      </c>
      <c r="L223" s="5">
        <v>23579.0</v>
      </c>
      <c r="M223" s="5">
        <v>19413.0</v>
      </c>
      <c r="N223" s="5">
        <v>16193.0</v>
      </c>
      <c r="O223" s="5">
        <v>12995.0</v>
      </c>
      <c r="P223" s="5">
        <v>9708.0</v>
      </c>
      <c r="Q223" s="5">
        <v>6456.0</v>
      </c>
      <c r="R223" s="5">
        <v>3824.0</v>
      </c>
      <c r="S223" s="5">
        <v>2083.0</v>
      </c>
      <c r="T223" s="5">
        <v>1934.0</v>
      </c>
      <c r="U223" s="5">
        <v>182914.0</v>
      </c>
      <c r="V223" s="5">
        <v>16891.0</v>
      </c>
      <c r="W223" s="5">
        <v>16468.0</v>
      </c>
      <c r="X223" s="5">
        <v>16101.0</v>
      </c>
      <c r="Y223" s="5">
        <v>16120.0</v>
      </c>
      <c r="Z223" s="5">
        <v>19472.0</v>
      </c>
      <c r="AA223" s="5">
        <v>19960.0</v>
      </c>
      <c r="AB223" s="5">
        <v>16992.0</v>
      </c>
      <c r="AC223" s="5">
        <v>14023.0</v>
      </c>
      <c r="AD223" s="5">
        <v>11912.0</v>
      </c>
      <c r="AE223" s="5">
        <v>9836.0</v>
      </c>
      <c r="AF223" s="5">
        <v>8200.0</v>
      </c>
      <c r="AG223" s="5">
        <v>6313.0</v>
      </c>
      <c r="AH223" s="5">
        <v>4651.0</v>
      </c>
      <c r="AI223" s="5">
        <v>2894.0</v>
      </c>
      <c r="AJ223" s="5">
        <v>1629.0</v>
      </c>
      <c r="AK223" s="5">
        <v>820.0</v>
      </c>
      <c r="AL223" s="5">
        <v>632.0</v>
      </c>
      <c r="AM223" s="5">
        <v>178137.0</v>
      </c>
      <c r="AN223" s="5">
        <v>15322.0</v>
      </c>
      <c r="AO223" s="5">
        <v>15075.0</v>
      </c>
      <c r="AP223" s="5">
        <v>15272.0</v>
      </c>
      <c r="AQ223" s="5">
        <v>15732.0</v>
      </c>
      <c r="AR223" s="5">
        <v>19412.0</v>
      </c>
      <c r="AS223" s="5">
        <v>19195.0</v>
      </c>
      <c r="AT223" s="5">
        <v>15596.0</v>
      </c>
      <c r="AU223" s="5">
        <v>13235.0</v>
      </c>
      <c r="AV223" s="5">
        <v>11667.0</v>
      </c>
      <c r="AW223" s="5">
        <v>9577.0</v>
      </c>
      <c r="AX223" s="5">
        <v>7993.0</v>
      </c>
      <c r="AY223" s="5">
        <v>6682.0</v>
      </c>
      <c r="AZ223" s="5">
        <v>5057.0</v>
      </c>
      <c r="BA223" s="5">
        <v>3562.0</v>
      </c>
      <c r="BB223" s="5">
        <v>2195.0</v>
      </c>
      <c r="BC223" s="5">
        <v>1263.0</v>
      </c>
      <c r="BD223" s="5">
        <v>1302.0</v>
      </c>
      <c r="BE223" s="4"/>
      <c r="BF223" s="4"/>
      <c r="BG223" s="4"/>
      <c r="BH223" s="4"/>
      <c r="BI223" s="4"/>
      <c r="BJ223" s="4"/>
    </row>
    <row r="224">
      <c r="A224" s="5"/>
      <c r="B224" s="5" t="s">
        <v>180</v>
      </c>
      <c r="C224" s="5">
        <v>4531512.0</v>
      </c>
      <c r="D224" s="5">
        <v>475606.0</v>
      </c>
      <c r="E224" s="5">
        <v>499076.0</v>
      </c>
      <c r="F224" s="5">
        <v>497039.0</v>
      </c>
      <c r="G224" s="5">
        <v>477859.0</v>
      </c>
      <c r="H224" s="5">
        <v>403189.0</v>
      </c>
      <c r="I224" s="5">
        <v>337361.0</v>
      </c>
      <c r="J224" s="5">
        <v>290155.0</v>
      </c>
      <c r="K224" s="5">
        <v>258744.0</v>
      </c>
      <c r="L224" s="5">
        <v>244033.0</v>
      </c>
      <c r="M224" s="5">
        <v>222459.0</v>
      </c>
      <c r="N224" s="5">
        <v>205219.0</v>
      </c>
      <c r="O224" s="5">
        <v>177439.0</v>
      </c>
      <c r="P224" s="5">
        <v>149825.0</v>
      </c>
      <c r="Q224" s="5">
        <v>110013.0</v>
      </c>
      <c r="R224" s="5">
        <v>80028.0</v>
      </c>
      <c r="S224" s="5">
        <v>53046.0</v>
      </c>
      <c r="T224" s="5">
        <v>50421.0</v>
      </c>
      <c r="U224" s="5">
        <v>2321372.0</v>
      </c>
      <c r="V224" s="5">
        <v>245923.0</v>
      </c>
      <c r="W224" s="5">
        <v>259378.0</v>
      </c>
      <c r="X224" s="5">
        <v>257290.0</v>
      </c>
      <c r="Y224" s="5">
        <v>245200.0</v>
      </c>
      <c r="Z224" s="5">
        <v>208547.0</v>
      </c>
      <c r="AA224" s="5">
        <v>174454.0</v>
      </c>
      <c r="AB224" s="5">
        <v>151879.0</v>
      </c>
      <c r="AC224" s="5">
        <v>135843.0</v>
      </c>
      <c r="AD224" s="5">
        <v>127667.0</v>
      </c>
      <c r="AE224" s="5">
        <v>115874.0</v>
      </c>
      <c r="AF224" s="5">
        <v>105425.0</v>
      </c>
      <c r="AG224" s="5">
        <v>90841.0</v>
      </c>
      <c r="AH224" s="5">
        <v>74938.0</v>
      </c>
      <c r="AI224" s="5">
        <v>52604.0</v>
      </c>
      <c r="AJ224" s="5">
        <v>35739.0</v>
      </c>
      <c r="AK224" s="5">
        <v>21907.0</v>
      </c>
      <c r="AL224" s="5">
        <v>17863.0</v>
      </c>
      <c r="AM224" s="5">
        <v>2210140.0</v>
      </c>
      <c r="AN224" s="5">
        <v>229683.0</v>
      </c>
      <c r="AO224" s="5">
        <v>239698.0</v>
      </c>
      <c r="AP224" s="5">
        <v>239749.0</v>
      </c>
      <c r="AQ224" s="5">
        <v>232659.0</v>
      </c>
      <c r="AR224" s="5">
        <v>194642.0</v>
      </c>
      <c r="AS224" s="5">
        <v>162907.0</v>
      </c>
      <c r="AT224" s="5">
        <v>138276.0</v>
      </c>
      <c r="AU224" s="5">
        <v>122901.0</v>
      </c>
      <c r="AV224" s="5">
        <v>116366.0</v>
      </c>
      <c r="AW224" s="5">
        <v>106585.0</v>
      </c>
      <c r="AX224" s="5">
        <v>99794.0</v>
      </c>
      <c r="AY224" s="5">
        <v>86598.0</v>
      </c>
      <c r="AZ224" s="5">
        <v>74887.0</v>
      </c>
      <c r="BA224" s="5">
        <v>57409.0</v>
      </c>
      <c r="BB224" s="5">
        <v>44289.0</v>
      </c>
      <c r="BC224" s="5">
        <v>31139.0</v>
      </c>
      <c r="BD224" s="5">
        <v>32558.0</v>
      </c>
      <c r="BE224" s="4"/>
      <c r="BF224" s="4"/>
      <c r="BG224" s="4"/>
      <c r="BH224" s="4"/>
      <c r="BI224" s="4"/>
      <c r="BJ224" s="4"/>
    </row>
    <row r="225">
      <c r="A225" s="5"/>
      <c r="B225" s="5" t="s">
        <v>181</v>
      </c>
      <c r="C225" s="5">
        <v>178715.0</v>
      </c>
      <c r="D225" s="5">
        <v>18056.0</v>
      </c>
      <c r="E225" s="5">
        <v>20361.0</v>
      </c>
      <c r="F225" s="5">
        <v>20126.0</v>
      </c>
      <c r="G225" s="5">
        <v>18496.0</v>
      </c>
      <c r="H225" s="5">
        <v>14982.0</v>
      </c>
      <c r="I225" s="5">
        <v>12720.0</v>
      </c>
      <c r="J225" s="5">
        <v>10894.0</v>
      </c>
      <c r="K225" s="5">
        <v>9969.0</v>
      </c>
      <c r="L225" s="5">
        <v>9499.0</v>
      </c>
      <c r="M225" s="5">
        <v>8903.0</v>
      </c>
      <c r="N225" s="5">
        <v>8460.0</v>
      </c>
      <c r="O225" s="5">
        <v>7385.0</v>
      </c>
      <c r="P225" s="5">
        <v>6123.0</v>
      </c>
      <c r="Q225" s="5">
        <v>4691.0</v>
      </c>
      <c r="R225" s="5">
        <v>3478.0</v>
      </c>
      <c r="S225" s="5">
        <v>2276.0</v>
      </c>
      <c r="T225" s="5">
        <v>2296.0</v>
      </c>
      <c r="U225" s="5">
        <v>91058.0</v>
      </c>
      <c r="V225" s="5">
        <v>9417.0</v>
      </c>
      <c r="W225" s="5">
        <v>10573.0</v>
      </c>
      <c r="X225" s="5">
        <v>10468.0</v>
      </c>
      <c r="Y225" s="5">
        <v>9575.0</v>
      </c>
      <c r="Z225" s="5">
        <v>7688.0</v>
      </c>
      <c r="AA225" s="5">
        <v>6560.0</v>
      </c>
      <c r="AB225" s="5">
        <v>5649.0</v>
      </c>
      <c r="AC225" s="5">
        <v>5192.0</v>
      </c>
      <c r="AD225" s="5">
        <v>4880.0</v>
      </c>
      <c r="AE225" s="5">
        <v>4649.0</v>
      </c>
      <c r="AF225" s="5">
        <v>4274.0</v>
      </c>
      <c r="AG225" s="5">
        <v>3705.0</v>
      </c>
      <c r="AH225" s="5">
        <v>3040.0</v>
      </c>
      <c r="AI225" s="5">
        <v>2181.0</v>
      </c>
      <c r="AJ225" s="5">
        <v>1540.0</v>
      </c>
      <c r="AK225" s="5">
        <v>893.0</v>
      </c>
      <c r="AL225" s="5">
        <v>774.0</v>
      </c>
      <c r="AM225" s="5">
        <v>87657.0</v>
      </c>
      <c r="AN225" s="5">
        <v>8639.0</v>
      </c>
      <c r="AO225" s="5">
        <v>9788.0</v>
      </c>
      <c r="AP225" s="5">
        <v>9658.0</v>
      </c>
      <c r="AQ225" s="5">
        <v>8921.0</v>
      </c>
      <c r="AR225" s="5">
        <v>7294.0</v>
      </c>
      <c r="AS225" s="5">
        <v>6160.0</v>
      </c>
      <c r="AT225" s="5">
        <v>5245.0</v>
      </c>
      <c r="AU225" s="5">
        <v>4777.0</v>
      </c>
      <c r="AV225" s="5">
        <v>4619.0</v>
      </c>
      <c r="AW225" s="5">
        <v>4254.0</v>
      </c>
      <c r="AX225" s="5">
        <v>4186.0</v>
      </c>
      <c r="AY225" s="5">
        <v>3680.0</v>
      </c>
      <c r="AZ225" s="5">
        <v>3083.0</v>
      </c>
      <c r="BA225" s="5">
        <v>2510.0</v>
      </c>
      <c r="BB225" s="5">
        <v>1938.0</v>
      </c>
      <c r="BC225" s="5">
        <v>1383.0</v>
      </c>
      <c r="BD225" s="5">
        <v>1522.0</v>
      </c>
      <c r="BE225" s="4"/>
      <c r="BF225" s="4"/>
      <c r="BG225" s="4"/>
      <c r="BH225" s="4"/>
      <c r="BI225" s="4"/>
      <c r="BJ225" s="4"/>
    </row>
    <row r="226">
      <c r="A226" s="5"/>
      <c r="B226" s="5" t="s">
        <v>182</v>
      </c>
      <c r="C226" s="5">
        <v>475847.0</v>
      </c>
      <c r="D226" s="5">
        <v>47664.0</v>
      </c>
      <c r="E226" s="5">
        <v>50770.0</v>
      </c>
      <c r="F226" s="5">
        <v>52123.0</v>
      </c>
      <c r="G226" s="5">
        <v>51897.0</v>
      </c>
      <c r="H226" s="5">
        <v>43768.0</v>
      </c>
      <c r="I226" s="5">
        <v>35190.0</v>
      </c>
      <c r="J226" s="5">
        <v>29981.0</v>
      </c>
      <c r="K226" s="5">
        <v>26550.0</v>
      </c>
      <c r="L226" s="5">
        <v>25251.0</v>
      </c>
      <c r="M226" s="5">
        <v>23509.0</v>
      </c>
      <c r="N226" s="5">
        <v>21557.0</v>
      </c>
      <c r="O226" s="5">
        <v>18415.0</v>
      </c>
      <c r="P226" s="5">
        <v>15532.0</v>
      </c>
      <c r="Q226" s="5">
        <v>11549.0</v>
      </c>
      <c r="R226" s="5">
        <v>8982.0</v>
      </c>
      <c r="S226" s="5">
        <v>6466.0</v>
      </c>
      <c r="T226" s="5">
        <v>6643.0</v>
      </c>
      <c r="U226" s="5">
        <v>246328.0</v>
      </c>
      <c r="V226" s="5">
        <v>24738.0</v>
      </c>
      <c r="W226" s="5">
        <v>26335.0</v>
      </c>
      <c r="X226" s="5">
        <v>26933.0</v>
      </c>
      <c r="Y226" s="5">
        <v>26864.0</v>
      </c>
      <c r="Z226" s="5">
        <v>22921.0</v>
      </c>
      <c r="AA226" s="5">
        <v>18438.0</v>
      </c>
      <c r="AB226" s="5">
        <v>15982.0</v>
      </c>
      <c r="AC226" s="5">
        <v>14145.0</v>
      </c>
      <c r="AD226" s="5">
        <v>13428.0</v>
      </c>
      <c r="AE226" s="5">
        <v>12403.0</v>
      </c>
      <c r="AF226" s="5">
        <v>11234.0</v>
      </c>
      <c r="AG226" s="5">
        <v>9742.0</v>
      </c>
      <c r="AH226" s="5">
        <v>7872.0</v>
      </c>
      <c r="AI226" s="5">
        <v>5714.0</v>
      </c>
      <c r="AJ226" s="5">
        <v>4265.0</v>
      </c>
      <c r="AK226" s="5">
        <v>2872.0</v>
      </c>
      <c r="AL226" s="5">
        <v>2442.0</v>
      </c>
      <c r="AM226" s="5">
        <v>229519.0</v>
      </c>
      <c r="AN226" s="5">
        <v>22926.0</v>
      </c>
      <c r="AO226" s="5">
        <v>24435.0</v>
      </c>
      <c r="AP226" s="5">
        <v>25190.0</v>
      </c>
      <c r="AQ226" s="5">
        <v>25033.0</v>
      </c>
      <c r="AR226" s="5">
        <v>20847.0</v>
      </c>
      <c r="AS226" s="5">
        <v>16752.0</v>
      </c>
      <c r="AT226" s="5">
        <v>13999.0</v>
      </c>
      <c r="AU226" s="5">
        <v>12405.0</v>
      </c>
      <c r="AV226" s="5">
        <v>11823.0</v>
      </c>
      <c r="AW226" s="5">
        <v>11106.0</v>
      </c>
      <c r="AX226" s="5">
        <v>10323.0</v>
      </c>
      <c r="AY226" s="5">
        <v>8673.0</v>
      </c>
      <c r="AZ226" s="5">
        <v>7660.0</v>
      </c>
      <c r="BA226" s="5">
        <v>5835.0</v>
      </c>
      <c r="BB226" s="5">
        <v>4717.0</v>
      </c>
      <c r="BC226" s="5">
        <v>3594.0</v>
      </c>
      <c r="BD226" s="5">
        <v>4201.0</v>
      </c>
      <c r="BE226" s="4"/>
      <c r="BF226" s="4"/>
      <c r="BG226" s="4"/>
      <c r="BH226" s="4"/>
      <c r="BI226" s="4"/>
      <c r="BJ226" s="4"/>
    </row>
    <row r="227">
      <c r="A227" s="5"/>
      <c r="B227" s="5" t="s">
        <v>183</v>
      </c>
      <c r="C227" s="5">
        <v>1771011.0</v>
      </c>
      <c r="D227" s="5">
        <v>186812.0</v>
      </c>
      <c r="E227" s="5">
        <v>192954.0</v>
      </c>
      <c r="F227" s="5">
        <v>191067.0</v>
      </c>
      <c r="G227" s="5">
        <v>177421.0</v>
      </c>
      <c r="H227" s="5">
        <v>150924.0</v>
      </c>
      <c r="I227" s="5">
        <v>133575.0</v>
      </c>
      <c r="J227" s="5">
        <v>117942.0</v>
      </c>
      <c r="K227" s="5">
        <v>104739.0</v>
      </c>
      <c r="L227" s="5">
        <v>97533.0</v>
      </c>
      <c r="M227" s="5">
        <v>86880.0</v>
      </c>
      <c r="N227" s="5">
        <v>80595.0</v>
      </c>
      <c r="O227" s="5">
        <v>71729.0</v>
      </c>
      <c r="P227" s="5">
        <v>61925.0</v>
      </c>
      <c r="Q227" s="5">
        <v>45664.0</v>
      </c>
      <c r="R227" s="5">
        <v>31940.0</v>
      </c>
      <c r="S227" s="5">
        <v>20163.0</v>
      </c>
      <c r="T227" s="5">
        <v>19148.0</v>
      </c>
      <c r="U227" s="5">
        <v>907015.0</v>
      </c>
      <c r="V227" s="5">
        <v>96417.0</v>
      </c>
      <c r="W227" s="5">
        <v>100273.0</v>
      </c>
      <c r="X227" s="5">
        <v>99122.0</v>
      </c>
      <c r="Y227" s="5">
        <v>90802.0</v>
      </c>
      <c r="Z227" s="5">
        <v>77982.0</v>
      </c>
      <c r="AA227" s="5">
        <v>68811.0</v>
      </c>
      <c r="AB227" s="5">
        <v>61664.0</v>
      </c>
      <c r="AC227" s="5">
        <v>55407.0</v>
      </c>
      <c r="AD227" s="5">
        <v>51410.0</v>
      </c>
      <c r="AE227" s="5">
        <v>45308.0</v>
      </c>
      <c r="AF227" s="5">
        <v>41255.0</v>
      </c>
      <c r="AG227" s="5">
        <v>36860.0</v>
      </c>
      <c r="AH227" s="5">
        <v>30963.0</v>
      </c>
      <c r="AI227" s="5">
        <v>21858.0</v>
      </c>
      <c r="AJ227" s="5">
        <v>14249.0</v>
      </c>
      <c r="AK227" s="5">
        <v>8121.0</v>
      </c>
      <c r="AL227" s="5">
        <v>6513.0</v>
      </c>
      <c r="AM227" s="5">
        <v>863996.0</v>
      </c>
      <c r="AN227" s="5">
        <v>90395.0</v>
      </c>
      <c r="AO227" s="5">
        <v>92681.0</v>
      </c>
      <c r="AP227" s="5">
        <v>91945.0</v>
      </c>
      <c r="AQ227" s="5">
        <v>86619.0</v>
      </c>
      <c r="AR227" s="5">
        <v>72942.0</v>
      </c>
      <c r="AS227" s="5">
        <v>64764.0</v>
      </c>
      <c r="AT227" s="5">
        <v>56278.0</v>
      </c>
      <c r="AU227" s="5">
        <v>49332.0</v>
      </c>
      <c r="AV227" s="5">
        <v>46123.0</v>
      </c>
      <c r="AW227" s="5">
        <v>41572.0</v>
      </c>
      <c r="AX227" s="5">
        <v>39340.0</v>
      </c>
      <c r="AY227" s="5">
        <v>34869.0</v>
      </c>
      <c r="AZ227" s="5">
        <v>30962.0</v>
      </c>
      <c r="BA227" s="5">
        <v>23806.0</v>
      </c>
      <c r="BB227" s="5">
        <v>17691.0</v>
      </c>
      <c r="BC227" s="5">
        <v>12042.0</v>
      </c>
      <c r="BD227" s="5">
        <v>12635.0</v>
      </c>
      <c r="BE227" s="4"/>
      <c r="BF227" s="4"/>
      <c r="BG227" s="4"/>
      <c r="BH227" s="4"/>
      <c r="BI227" s="4"/>
      <c r="BJ227" s="4"/>
    </row>
    <row r="228">
      <c r="A228" s="5"/>
      <c r="B228" s="5" t="s">
        <v>184</v>
      </c>
      <c r="C228" s="5">
        <v>636995.0</v>
      </c>
      <c r="D228" s="5">
        <v>71148.0</v>
      </c>
      <c r="E228" s="5">
        <v>76340.0</v>
      </c>
      <c r="F228" s="5">
        <v>76316.0</v>
      </c>
      <c r="G228" s="5">
        <v>74004.0</v>
      </c>
      <c r="H228" s="5">
        <v>59070.0</v>
      </c>
      <c r="I228" s="5">
        <v>45178.0</v>
      </c>
      <c r="J228" s="5">
        <v>37868.0</v>
      </c>
      <c r="K228" s="5">
        <v>33405.0</v>
      </c>
      <c r="L228" s="5">
        <v>31795.0</v>
      </c>
      <c r="M228" s="5">
        <v>29776.0</v>
      </c>
      <c r="N228" s="5">
        <v>26447.0</v>
      </c>
      <c r="O228" s="5">
        <v>21919.0</v>
      </c>
      <c r="P228" s="5">
        <v>17804.0</v>
      </c>
      <c r="Q228" s="5">
        <v>13272.0</v>
      </c>
      <c r="R228" s="5">
        <v>9782.0</v>
      </c>
      <c r="S228" s="5">
        <v>6878.0</v>
      </c>
      <c r="T228" s="5">
        <v>5993.0</v>
      </c>
      <c r="U228" s="5">
        <v>326304.0</v>
      </c>
      <c r="V228" s="5">
        <v>36738.0</v>
      </c>
      <c r="W228" s="5">
        <v>39560.0</v>
      </c>
      <c r="X228" s="5">
        <v>39448.0</v>
      </c>
      <c r="Y228" s="5">
        <v>38072.0</v>
      </c>
      <c r="Z228" s="5">
        <v>30856.0</v>
      </c>
      <c r="AA228" s="5">
        <v>23503.0</v>
      </c>
      <c r="AB228" s="5">
        <v>19887.0</v>
      </c>
      <c r="AC228" s="5">
        <v>17504.0</v>
      </c>
      <c r="AD228" s="5">
        <v>16422.0</v>
      </c>
      <c r="AE228" s="5">
        <v>15311.0</v>
      </c>
      <c r="AF228" s="5">
        <v>13580.0</v>
      </c>
      <c r="AG228" s="5">
        <v>10960.0</v>
      </c>
      <c r="AH228" s="5">
        <v>8845.0</v>
      </c>
      <c r="AI228" s="5">
        <v>6264.0</v>
      </c>
      <c r="AJ228" s="5">
        <v>4342.0</v>
      </c>
      <c r="AK228" s="5">
        <v>2816.0</v>
      </c>
      <c r="AL228" s="5">
        <v>2196.0</v>
      </c>
      <c r="AM228" s="5">
        <v>310691.0</v>
      </c>
      <c r="AN228" s="5">
        <v>34410.0</v>
      </c>
      <c r="AO228" s="5">
        <v>36780.0</v>
      </c>
      <c r="AP228" s="5">
        <v>36868.0</v>
      </c>
      <c r="AQ228" s="5">
        <v>35932.0</v>
      </c>
      <c r="AR228" s="5">
        <v>28214.0</v>
      </c>
      <c r="AS228" s="5">
        <v>21675.0</v>
      </c>
      <c r="AT228" s="5">
        <v>17981.0</v>
      </c>
      <c r="AU228" s="5">
        <v>15901.0</v>
      </c>
      <c r="AV228" s="5">
        <v>15373.0</v>
      </c>
      <c r="AW228" s="5">
        <v>14465.0</v>
      </c>
      <c r="AX228" s="5">
        <v>12867.0</v>
      </c>
      <c r="AY228" s="5">
        <v>10959.0</v>
      </c>
      <c r="AZ228" s="5">
        <v>8959.0</v>
      </c>
      <c r="BA228" s="5">
        <v>7008.0</v>
      </c>
      <c r="BB228" s="5">
        <v>5440.0</v>
      </c>
      <c r="BC228" s="5">
        <v>4062.0</v>
      </c>
      <c r="BD228" s="5">
        <v>3797.0</v>
      </c>
      <c r="BE228" s="4"/>
      <c r="BF228" s="4"/>
      <c r="BG228" s="4"/>
      <c r="BH228" s="4"/>
      <c r="BI228" s="4"/>
      <c r="BJ228" s="4"/>
    </row>
    <row r="229">
      <c r="A229" s="5"/>
      <c r="B229" s="5" t="s">
        <v>185</v>
      </c>
      <c r="C229" s="5">
        <v>791045.0</v>
      </c>
      <c r="D229" s="5">
        <v>85393.0</v>
      </c>
      <c r="E229" s="5">
        <v>90700.0</v>
      </c>
      <c r="F229" s="5">
        <v>89209.0</v>
      </c>
      <c r="G229" s="5">
        <v>89008.0</v>
      </c>
      <c r="H229" s="5">
        <v>73724.0</v>
      </c>
      <c r="I229" s="5">
        <v>58912.0</v>
      </c>
      <c r="J229" s="5">
        <v>47203.0</v>
      </c>
      <c r="K229" s="5">
        <v>42464.0</v>
      </c>
      <c r="L229" s="5">
        <v>40929.0</v>
      </c>
      <c r="M229" s="5">
        <v>39075.0</v>
      </c>
      <c r="N229" s="5">
        <v>35089.0</v>
      </c>
      <c r="O229" s="5">
        <v>28929.0</v>
      </c>
      <c r="P229" s="5">
        <v>23899.0</v>
      </c>
      <c r="Q229" s="5">
        <v>17154.0</v>
      </c>
      <c r="R229" s="5">
        <v>12744.0</v>
      </c>
      <c r="S229" s="5">
        <v>8753.0</v>
      </c>
      <c r="T229" s="5">
        <v>7860.0</v>
      </c>
      <c r="U229" s="5">
        <v>406789.0</v>
      </c>
      <c r="V229" s="5">
        <v>44028.0</v>
      </c>
      <c r="W229" s="5">
        <v>47145.0</v>
      </c>
      <c r="X229" s="5">
        <v>45907.0</v>
      </c>
      <c r="Y229" s="5">
        <v>45527.0</v>
      </c>
      <c r="Z229" s="5">
        <v>38132.0</v>
      </c>
      <c r="AA229" s="5">
        <v>30755.0</v>
      </c>
      <c r="AB229" s="5">
        <v>24949.0</v>
      </c>
      <c r="AC229" s="5">
        <v>22226.0</v>
      </c>
      <c r="AD229" s="5">
        <v>21538.0</v>
      </c>
      <c r="AE229" s="5">
        <v>20518.0</v>
      </c>
      <c r="AF229" s="5">
        <v>18306.0</v>
      </c>
      <c r="AG229" s="5">
        <v>15026.0</v>
      </c>
      <c r="AH229" s="5">
        <v>12129.0</v>
      </c>
      <c r="AI229" s="5">
        <v>8336.0</v>
      </c>
      <c r="AJ229" s="5">
        <v>5580.0</v>
      </c>
      <c r="AK229" s="5">
        <v>3708.0</v>
      </c>
      <c r="AL229" s="5">
        <v>2979.0</v>
      </c>
      <c r="AM229" s="5">
        <v>384256.0</v>
      </c>
      <c r="AN229" s="5">
        <v>41365.0</v>
      </c>
      <c r="AO229" s="5">
        <v>43555.0</v>
      </c>
      <c r="AP229" s="5">
        <v>43302.0</v>
      </c>
      <c r="AQ229" s="5">
        <v>43481.0</v>
      </c>
      <c r="AR229" s="5">
        <v>35592.0</v>
      </c>
      <c r="AS229" s="5">
        <v>28157.0</v>
      </c>
      <c r="AT229" s="5">
        <v>22254.0</v>
      </c>
      <c r="AU229" s="5">
        <v>20238.0</v>
      </c>
      <c r="AV229" s="5">
        <v>19391.0</v>
      </c>
      <c r="AW229" s="5">
        <v>18557.0</v>
      </c>
      <c r="AX229" s="5">
        <v>16783.0</v>
      </c>
      <c r="AY229" s="5">
        <v>13903.0</v>
      </c>
      <c r="AZ229" s="5">
        <v>11770.0</v>
      </c>
      <c r="BA229" s="5">
        <v>8818.0</v>
      </c>
      <c r="BB229" s="5">
        <v>7164.0</v>
      </c>
      <c r="BC229" s="5">
        <v>5045.0</v>
      </c>
      <c r="BD229" s="5">
        <v>4881.0</v>
      </c>
      <c r="BE229" s="4"/>
      <c r="BF229" s="4"/>
      <c r="BG229" s="4"/>
      <c r="BH229" s="4"/>
      <c r="BI229" s="4"/>
      <c r="BJ229" s="4"/>
    </row>
    <row r="230">
      <c r="A230" s="5"/>
      <c r="B230" s="5" t="s">
        <v>186</v>
      </c>
      <c r="C230" s="5">
        <v>428484.0</v>
      </c>
      <c r="D230" s="5">
        <v>39629.0</v>
      </c>
      <c r="E230" s="5">
        <v>41193.0</v>
      </c>
      <c r="F230" s="5">
        <v>43526.0</v>
      </c>
      <c r="G230" s="5">
        <v>42824.0</v>
      </c>
      <c r="H230" s="5">
        <v>35568.0</v>
      </c>
      <c r="I230" s="5">
        <v>30268.0</v>
      </c>
      <c r="J230" s="5">
        <v>28114.0</v>
      </c>
      <c r="K230" s="5">
        <v>25680.0</v>
      </c>
      <c r="L230" s="5">
        <v>25160.0</v>
      </c>
      <c r="M230" s="5">
        <v>22284.0</v>
      </c>
      <c r="N230" s="5">
        <v>22229.0</v>
      </c>
      <c r="O230" s="5">
        <v>19635.0</v>
      </c>
      <c r="P230" s="5">
        <v>16924.0</v>
      </c>
      <c r="Q230" s="5">
        <v>12571.0</v>
      </c>
      <c r="R230" s="5">
        <v>9688.0</v>
      </c>
      <c r="S230" s="5">
        <v>6513.0</v>
      </c>
      <c r="T230" s="5">
        <v>6678.0</v>
      </c>
      <c r="U230" s="5">
        <v>218053.0</v>
      </c>
      <c r="V230" s="5">
        <v>20710.0</v>
      </c>
      <c r="W230" s="5">
        <v>21596.0</v>
      </c>
      <c r="X230" s="5">
        <v>22668.0</v>
      </c>
      <c r="Y230" s="5">
        <v>22102.0</v>
      </c>
      <c r="Z230" s="5">
        <v>18302.0</v>
      </c>
      <c r="AA230" s="5">
        <v>15471.0</v>
      </c>
      <c r="AB230" s="5">
        <v>14478.0</v>
      </c>
      <c r="AC230" s="5">
        <v>13103.0</v>
      </c>
      <c r="AD230" s="5">
        <v>12909.0</v>
      </c>
      <c r="AE230" s="5">
        <v>11595.0</v>
      </c>
      <c r="AF230" s="5">
        <v>11394.0</v>
      </c>
      <c r="AG230" s="5">
        <v>9885.0</v>
      </c>
      <c r="AH230" s="5">
        <v>8412.0</v>
      </c>
      <c r="AI230" s="5">
        <v>5963.0</v>
      </c>
      <c r="AJ230" s="5">
        <v>4352.0</v>
      </c>
      <c r="AK230" s="5">
        <v>2716.0</v>
      </c>
      <c r="AL230" s="5">
        <v>2397.0</v>
      </c>
      <c r="AM230" s="5">
        <v>210431.0</v>
      </c>
      <c r="AN230" s="5">
        <v>18919.0</v>
      </c>
      <c r="AO230" s="5">
        <v>19597.0</v>
      </c>
      <c r="AP230" s="5">
        <v>20858.0</v>
      </c>
      <c r="AQ230" s="5">
        <v>20722.0</v>
      </c>
      <c r="AR230" s="5">
        <v>17266.0</v>
      </c>
      <c r="AS230" s="5">
        <v>14797.0</v>
      </c>
      <c r="AT230" s="5">
        <v>13636.0</v>
      </c>
      <c r="AU230" s="5">
        <v>12577.0</v>
      </c>
      <c r="AV230" s="5">
        <v>12251.0</v>
      </c>
      <c r="AW230" s="5">
        <v>10689.0</v>
      </c>
      <c r="AX230" s="5">
        <v>10835.0</v>
      </c>
      <c r="AY230" s="5">
        <v>9750.0</v>
      </c>
      <c r="AZ230" s="5">
        <v>8512.0</v>
      </c>
      <c r="BA230" s="5">
        <v>6608.0</v>
      </c>
      <c r="BB230" s="5">
        <v>5336.0</v>
      </c>
      <c r="BC230" s="5">
        <v>3797.0</v>
      </c>
      <c r="BD230" s="5">
        <v>4281.0</v>
      </c>
      <c r="BE230" s="4"/>
      <c r="BF230" s="4"/>
      <c r="BG230" s="4"/>
      <c r="BH230" s="4"/>
      <c r="BI230" s="4"/>
      <c r="BJ230" s="4"/>
    </row>
    <row r="231">
      <c r="A231" s="5"/>
      <c r="B231" s="5" t="s">
        <v>187</v>
      </c>
      <c r="C231" s="5">
        <v>249415.0</v>
      </c>
      <c r="D231" s="5">
        <v>26904.0</v>
      </c>
      <c r="E231" s="5">
        <v>26758.0</v>
      </c>
      <c r="F231" s="5">
        <v>24672.0</v>
      </c>
      <c r="G231" s="5">
        <v>24209.0</v>
      </c>
      <c r="H231" s="5">
        <v>25153.0</v>
      </c>
      <c r="I231" s="5">
        <v>21518.0</v>
      </c>
      <c r="J231" s="5">
        <v>18153.0</v>
      </c>
      <c r="K231" s="5">
        <v>15937.0</v>
      </c>
      <c r="L231" s="5">
        <v>13866.0</v>
      </c>
      <c r="M231" s="5">
        <v>12032.0</v>
      </c>
      <c r="N231" s="5">
        <v>10842.0</v>
      </c>
      <c r="O231" s="5">
        <v>9427.0</v>
      </c>
      <c r="P231" s="5">
        <v>7618.0</v>
      </c>
      <c r="Q231" s="5">
        <v>5112.0</v>
      </c>
      <c r="R231" s="5">
        <v>3414.0</v>
      </c>
      <c r="S231" s="5">
        <v>1997.0</v>
      </c>
      <c r="T231" s="5">
        <v>1803.0</v>
      </c>
      <c r="U231" s="5">
        <v>125825.0</v>
      </c>
      <c r="V231" s="5">
        <v>13875.0</v>
      </c>
      <c r="W231" s="5">
        <v>13896.0</v>
      </c>
      <c r="X231" s="5">
        <v>12744.0</v>
      </c>
      <c r="Y231" s="5">
        <v>12258.0</v>
      </c>
      <c r="Z231" s="5">
        <v>12666.0</v>
      </c>
      <c r="AA231" s="5">
        <v>10916.0</v>
      </c>
      <c r="AB231" s="5">
        <v>9270.0</v>
      </c>
      <c r="AC231" s="5">
        <v>8266.0</v>
      </c>
      <c r="AD231" s="5">
        <v>7080.0</v>
      </c>
      <c r="AE231" s="5">
        <v>6090.0</v>
      </c>
      <c r="AF231" s="5">
        <v>5382.0</v>
      </c>
      <c r="AG231" s="5">
        <v>4663.0</v>
      </c>
      <c r="AH231" s="5">
        <v>3677.0</v>
      </c>
      <c r="AI231" s="5">
        <v>2288.0</v>
      </c>
      <c r="AJ231" s="5">
        <v>1411.0</v>
      </c>
      <c r="AK231" s="5">
        <v>781.0</v>
      </c>
      <c r="AL231" s="5">
        <v>562.0</v>
      </c>
      <c r="AM231" s="5">
        <v>123590.0</v>
      </c>
      <c r="AN231" s="5">
        <v>13029.0</v>
      </c>
      <c r="AO231" s="5">
        <v>12862.0</v>
      </c>
      <c r="AP231" s="5">
        <v>11928.0</v>
      </c>
      <c r="AQ231" s="5">
        <v>11951.0</v>
      </c>
      <c r="AR231" s="5">
        <v>12487.0</v>
      </c>
      <c r="AS231" s="5">
        <v>10602.0</v>
      </c>
      <c r="AT231" s="5">
        <v>8883.0</v>
      </c>
      <c r="AU231" s="5">
        <v>7671.0</v>
      </c>
      <c r="AV231" s="5">
        <v>6786.0</v>
      </c>
      <c r="AW231" s="5">
        <v>5942.0</v>
      </c>
      <c r="AX231" s="5">
        <v>5460.0</v>
      </c>
      <c r="AY231" s="5">
        <v>4764.0</v>
      </c>
      <c r="AZ231" s="5">
        <v>3941.0</v>
      </c>
      <c r="BA231" s="5">
        <v>2824.0</v>
      </c>
      <c r="BB231" s="5">
        <v>2003.0</v>
      </c>
      <c r="BC231" s="5">
        <v>1216.0</v>
      </c>
      <c r="BD231" s="5">
        <v>1241.0</v>
      </c>
      <c r="BE231" s="4"/>
      <c r="BF231" s="4"/>
      <c r="BG231" s="4"/>
      <c r="BH231" s="4"/>
      <c r="BI231" s="4"/>
      <c r="BJ231" s="4"/>
    </row>
    <row r="232">
      <c r="A232" s="5"/>
      <c r="B232" s="5" t="s">
        <v>188</v>
      </c>
      <c r="C232" s="5">
        <v>3862588.0</v>
      </c>
      <c r="D232" s="5">
        <v>426337.0</v>
      </c>
      <c r="E232" s="5">
        <v>442916.0</v>
      </c>
      <c r="F232" s="5">
        <v>426881.0</v>
      </c>
      <c r="G232" s="5">
        <v>396373.0</v>
      </c>
      <c r="H232" s="5">
        <v>352878.0</v>
      </c>
      <c r="I232" s="5">
        <v>311168.0</v>
      </c>
      <c r="J232" s="5">
        <v>264437.0</v>
      </c>
      <c r="K232" s="5">
        <v>228066.0</v>
      </c>
      <c r="L232" s="5">
        <v>210498.0</v>
      </c>
      <c r="M232" s="5">
        <v>186783.0</v>
      </c>
      <c r="N232" s="5">
        <v>165651.0</v>
      </c>
      <c r="O232" s="5">
        <v>139240.0</v>
      </c>
      <c r="P232" s="5">
        <v>113784.0</v>
      </c>
      <c r="Q232" s="5">
        <v>82846.0</v>
      </c>
      <c r="R232" s="5">
        <v>51947.0</v>
      </c>
      <c r="S232" s="5">
        <v>31773.0</v>
      </c>
      <c r="T232" s="5">
        <v>31010.0</v>
      </c>
      <c r="U232" s="5">
        <v>1966201.0</v>
      </c>
      <c r="V232" s="5">
        <v>218870.0</v>
      </c>
      <c r="W232" s="5">
        <v>228622.0</v>
      </c>
      <c r="X232" s="5">
        <v>218525.0</v>
      </c>
      <c r="Y232" s="5">
        <v>201572.0</v>
      </c>
      <c r="Z232" s="5">
        <v>179142.0</v>
      </c>
      <c r="AA232" s="5">
        <v>158932.0</v>
      </c>
      <c r="AB232" s="5">
        <v>136875.0</v>
      </c>
      <c r="AC232" s="5">
        <v>118530.0</v>
      </c>
      <c r="AD232" s="5">
        <v>109718.0</v>
      </c>
      <c r="AE232" s="5">
        <v>95991.0</v>
      </c>
      <c r="AF232" s="5">
        <v>84151.0</v>
      </c>
      <c r="AG232" s="5">
        <v>70798.0</v>
      </c>
      <c r="AH232" s="5">
        <v>56128.0</v>
      </c>
      <c r="AI232" s="5">
        <v>39932.0</v>
      </c>
      <c r="AJ232" s="5">
        <v>23330.0</v>
      </c>
      <c r="AK232" s="5">
        <v>13469.0</v>
      </c>
      <c r="AL232" s="5">
        <v>11616.0</v>
      </c>
      <c r="AM232" s="5">
        <v>1896387.0</v>
      </c>
      <c r="AN232" s="5">
        <v>207467.0</v>
      </c>
      <c r="AO232" s="5">
        <v>214294.0</v>
      </c>
      <c r="AP232" s="5">
        <v>208356.0</v>
      </c>
      <c r="AQ232" s="5">
        <v>194801.0</v>
      </c>
      <c r="AR232" s="5">
        <v>173736.0</v>
      </c>
      <c r="AS232" s="5">
        <v>152236.0</v>
      </c>
      <c r="AT232" s="5">
        <v>127562.0</v>
      </c>
      <c r="AU232" s="5">
        <v>109536.0</v>
      </c>
      <c r="AV232" s="5">
        <v>100780.0</v>
      </c>
      <c r="AW232" s="5">
        <v>90792.0</v>
      </c>
      <c r="AX232" s="5">
        <v>81500.0</v>
      </c>
      <c r="AY232" s="5">
        <v>68442.0</v>
      </c>
      <c r="AZ232" s="5">
        <v>57656.0</v>
      </c>
      <c r="BA232" s="5">
        <v>42914.0</v>
      </c>
      <c r="BB232" s="5">
        <v>28617.0</v>
      </c>
      <c r="BC232" s="5">
        <v>18304.0</v>
      </c>
      <c r="BD232" s="5">
        <v>19394.0</v>
      </c>
      <c r="BE232" s="4"/>
      <c r="BF232" s="4"/>
      <c r="BG232" s="4"/>
      <c r="BH232" s="4"/>
      <c r="BI232" s="4"/>
      <c r="BJ232" s="4"/>
    </row>
    <row r="233">
      <c r="A233" s="5"/>
      <c r="B233" s="5" t="s">
        <v>189</v>
      </c>
      <c r="C233" s="5">
        <v>1046017.0</v>
      </c>
      <c r="D233" s="5">
        <v>120426.0</v>
      </c>
      <c r="E233" s="5">
        <v>120246.0</v>
      </c>
      <c r="F233" s="5">
        <v>115252.0</v>
      </c>
      <c r="G233" s="5">
        <v>107041.0</v>
      </c>
      <c r="H233" s="5">
        <v>91948.0</v>
      </c>
      <c r="I233" s="5">
        <v>79620.0</v>
      </c>
      <c r="J233" s="5">
        <v>67983.0</v>
      </c>
      <c r="K233" s="5">
        <v>59352.0</v>
      </c>
      <c r="L233" s="5">
        <v>54920.0</v>
      </c>
      <c r="M233" s="5">
        <v>51134.0</v>
      </c>
      <c r="N233" s="5">
        <v>46059.0</v>
      </c>
      <c r="O233" s="5">
        <v>39528.0</v>
      </c>
      <c r="P233" s="5">
        <v>32276.0</v>
      </c>
      <c r="Q233" s="5">
        <v>24213.0</v>
      </c>
      <c r="R233" s="5">
        <v>15536.0</v>
      </c>
      <c r="S233" s="5">
        <v>10492.0</v>
      </c>
      <c r="T233" s="5">
        <v>9991.0</v>
      </c>
      <c r="U233" s="5">
        <v>536041.0</v>
      </c>
      <c r="V233" s="5">
        <v>62002.0</v>
      </c>
      <c r="W233" s="5">
        <v>62380.0</v>
      </c>
      <c r="X233" s="5">
        <v>59270.0</v>
      </c>
      <c r="Y233" s="5">
        <v>54855.0</v>
      </c>
      <c r="Z233" s="5">
        <v>46938.0</v>
      </c>
      <c r="AA233" s="5">
        <v>41104.0</v>
      </c>
      <c r="AB233" s="5">
        <v>35593.0</v>
      </c>
      <c r="AC233" s="5">
        <v>31138.0</v>
      </c>
      <c r="AD233" s="5">
        <v>28742.0</v>
      </c>
      <c r="AE233" s="5">
        <v>26399.0</v>
      </c>
      <c r="AF233" s="5">
        <v>23664.0</v>
      </c>
      <c r="AG233" s="5">
        <v>20433.0</v>
      </c>
      <c r="AH233" s="5">
        <v>16169.0</v>
      </c>
      <c r="AI233" s="5">
        <v>11774.0</v>
      </c>
      <c r="AJ233" s="5">
        <v>7151.0</v>
      </c>
      <c r="AK233" s="5">
        <v>4605.0</v>
      </c>
      <c r="AL233" s="5">
        <v>3824.0</v>
      </c>
      <c r="AM233" s="5">
        <v>509976.0</v>
      </c>
      <c r="AN233" s="5">
        <v>58424.0</v>
      </c>
      <c r="AO233" s="5">
        <v>57866.0</v>
      </c>
      <c r="AP233" s="5">
        <v>55982.0</v>
      </c>
      <c r="AQ233" s="5">
        <v>52186.0</v>
      </c>
      <c r="AR233" s="5">
        <v>45010.0</v>
      </c>
      <c r="AS233" s="5">
        <v>38516.0</v>
      </c>
      <c r="AT233" s="5">
        <v>32390.0</v>
      </c>
      <c r="AU233" s="5">
        <v>28214.0</v>
      </c>
      <c r="AV233" s="5">
        <v>26178.0</v>
      </c>
      <c r="AW233" s="5">
        <v>24735.0</v>
      </c>
      <c r="AX233" s="5">
        <v>22395.0</v>
      </c>
      <c r="AY233" s="5">
        <v>19095.0</v>
      </c>
      <c r="AZ233" s="5">
        <v>16107.0</v>
      </c>
      <c r="BA233" s="5">
        <v>12439.0</v>
      </c>
      <c r="BB233" s="5">
        <v>8385.0</v>
      </c>
      <c r="BC233" s="5">
        <v>5887.0</v>
      </c>
      <c r="BD233" s="5">
        <v>6167.0</v>
      </c>
      <c r="BE233" s="4"/>
      <c r="BF233" s="4"/>
      <c r="BG233" s="4"/>
      <c r="BH233" s="4"/>
      <c r="BI233" s="4"/>
      <c r="BJ233" s="4"/>
    </row>
    <row r="234">
      <c r="A234" s="5"/>
      <c r="B234" s="5" t="s">
        <v>190</v>
      </c>
      <c r="C234" s="5">
        <v>1048402.0</v>
      </c>
      <c r="D234" s="5">
        <v>117601.0</v>
      </c>
      <c r="E234" s="5">
        <v>120193.0</v>
      </c>
      <c r="F234" s="5">
        <v>117276.0</v>
      </c>
      <c r="G234" s="5">
        <v>108809.0</v>
      </c>
      <c r="H234" s="5">
        <v>93857.0</v>
      </c>
      <c r="I234" s="5">
        <v>83996.0</v>
      </c>
      <c r="J234" s="5">
        <v>71213.0</v>
      </c>
      <c r="K234" s="5">
        <v>59692.0</v>
      </c>
      <c r="L234" s="5">
        <v>56239.0</v>
      </c>
      <c r="M234" s="5">
        <v>49795.0</v>
      </c>
      <c r="N234" s="5">
        <v>44595.0</v>
      </c>
      <c r="O234" s="5">
        <v>38565.0</v>
      </c>
      <c r="P234" s="5">
        <v>31652.0</v>
      </c>
      <c r="Q234" s="5">
        <v>22713.0</v>
      </c>
      <c r="R234" s="5">
        <v>14221.0</v>
      </c>
      <c r="S234" s="5">
        <v>8814.0</v>
      </c>
      <c r="T234" s="5">
        <v>9171.0</v>
      </c>
      <c r="U234" s="5">
        <v>535265.0</v>
      </c>
      <c r="V234" s="5">
        <v>60137.0</v>
      </c>
      <c r="W234" s="5">
        <v>61990.0</v>
      </c>
      <c r="X234" s="5">
        <v>60014.0</v>
      </c>
      <c r="Y234" s="5">
        <v>55408.0</v>
      </c>
      <c r="Z234" s="5">
        <v>47830.0</v>
      </c>
      <c r="AA234" s="5">
        <v>43069.0</v>
      </c>
      <c r="AB234" s="5">
        <v>37246.0</v>
      </c>
      <c r="AC234" s="5">
        <v>31475.0</v>
      </c>
      <c r="AD234" s="5">
        <v>29799.0</v>
      </c>
      <c r="AE234" s="5">
        <v>25818.0</v>
      </c>
      <c r="AF234" s="5">
        <v>22663.0</v>
      </c>
      <c r="AG234" s="5">
        <v>19589.0</v>
      </c>
      <c r="AH234" s="5">
        <v>15673.0</v>
      </c>
      <c r="AI234" s="5">
        <v>10865.0</v>
      </c>
      <c r="AJ234" s="5">
        <v>6419.0</v>
      </c>
      <c r="AK234" s="5">
        <v>3733.0</v>
      </c>
      <c r="AL234" s="5">
        <v>3537.0</v>
      </c>
      <c r="AM234" s="5">
        <v>513137.0</v>
      </c>
      <c r="AN234" s="5">
        <v>57464.0</v>
      </c>
      <c r="AO234" s="5">
        <v>58203.0</v>
      </c>
      <c r="AP234" s="5">
        <v>57262.0</v>
      </c>
      <c r="AQ234" s="5">
        <v>53401.0</v>
      </c>
      <c r="AR234" s="5">
        <v>46027.0</v>
      </c>
      <c r="AS234" s="5">
        <v>40927.0</v>
      </c>
      <c r="AT234" s="5">
        <v>33967.0</v>
      </c>
      <c r="AU234" s="5">
        <v>28217.0</v>
      </c>
      <c r="AV234" s="5">
        <v>26440.0</v>
      </c>
      <c r="AW234" s="5">
        <v>23977.0</v>
      </c>
      <c r="AX234" s="5">
        <v>21932.0</v>
      </c>
      <c r="AY234" s="5">
        <v>18976.0</v>
      </c>
      <c r="AZ234" s="5">
        <v>15979.0</v>
      </c>
      <c r="BA234" s="5">
        <v>11848.0</v>
      </c>
      <c r="BB234" s="5">
        <v>7802.0</v>
      </c>
      <c r="BC234" s="5">
        <v>5081.0</v>
      </c>
      <c r="BD234" s="5">
        <v>5634.0</v>
      </c>
      <c r="BE234" s="4"/>
      <c r="BF234" s="4"/>
      <c r="BG234" s="4"/>
      <c r="BH234" s="4"/>
      <c r="BI234" s="4"/>
      <c r="BJ234" s="4"/>
    </row>
    <row r="235">
      <c r="A235" s="5"/>
      <c r="B235" s="5" t="s">
        <v>191</v>
      </c>
      <c r="C235" s="5">
        <v>668648.0</v>
      </c>
      <c r="D235" s="5">
        <v>72706.0</v>
      </c>
      <c r="E235" s="5">
        <v>80830.0</v>
      </c>
      <c r="F235" s="5">
        <v>78633.0</v>
      </c>
      <c r="G235" s="5">
        <v>71144.0</v>
      </c>
      <c r="H235" s="5">
        <v>58141.0</v>
      </c>
      <c r="I235" s="5">
        <v>52943.0</v>
      </c>
      <c r="J235" s="5">
        <v>45746.0</v>
      </c>
      <c r="K235" s="5">
        <v>38984.0</v>
      </c>
      <c r="L235" s="5">
        <v>35498.0</v>
      </c>
      <c r="M235" s="5">
        <v>31444.0</v>
      </c>
      <c r="N235" s="5">
        <v>28311.0</v>
      </c>
      <c r="O235" s="5">
        <v>23316.0</v>
      </c>
      <c r="P235" s="5">
        <v>18900.0</v>
      </c>
      <c r="Q235" s="5">
        <v>13524.0</v>
      </c>
      <c r="R235" s="5">
        <v>8367.0</v>
      </c>
      <c r="S235" s="5">
        <v>5182.0</v>
      </c>
      <c r="T235" s="5">
        <v>4979.0</v>
      </c>
      <c r="U235" s="5">
        <v>342356.0</v>
      </c>
      <c r="V235" s="5">
        <v>37576.0</v>
      </c>
      <c r="W235" s="5">
        <v>41754.0</v>
      </c>
      <c r="X235" s="5">
        <v>40239.0</v>
      </c>
      <c r="Y235" s="5">
        <v>36277.0</v>
      </c>
      <c r="Z235" s="5">
        <v>29498.0</v>
      </c>
      <c r="AA235" s="5">
        <v>26900.0</v>
      </c>
      <c r="AB235" s="5">
        <v>23725.0</v>
      </c>
      <c r="AC235" s="5">
        <v>20368.0</v>
      </c>
      <c r="AD235" s="5">
        <v>18731.0</v>
      </c>
      <c r="AE235" s="5">
        <v>16368.0</v>
      </c>
      <c r="AF235" s="5">
        <v>14573.0</v>
      </c>
      <c r="AG235" s="5">
        <v>11971.0</v>
      </c>
      <c r="AH235" s="5">
        <v>9494.0</v>
      </c>
      <c r="AI235" s="5">
        <v>6724.0</v>
      </c>
      <c r="AJ235" s="5">
        <v>3840.0</v>
      </c>
      <c r="AK235" s="5">
        <v>2292.0</v>
      </c>
      <c r="AL235" s="5">
        <v>2026.0</v>
      </c>
      <c r="AM235" s="5">
        <v>326292.0</v>
      </c>
      <c r="AN235" s="5">
        <v>35130.0</v>
      </c>
      <c r="AO235" s="5">
        <v>39076.0</v>
      </c>
      <c r="AP235" s="5">
        <v>38394.0</v>
      </c>
      <c r="AQ235" s="5">
        <v>34867.0</v>
      </c>
      <c r="AR235" s="5">
        <v>28643.0</v>
      </c>
      <c r="AS235" s="5">
        <v>26043.0</v>
      </c>
      <c r="AT235" s="5">
        <v>22021.0</v>
      </c>
      <c r="AU235" s="5">
        <v>18616.0</v>
      </c>
      <c r="AV235" s="5">
        <v>16767.0</v>
      </c>
      <c r="AW235" s="5">
        <v>15076.0</v>
      </c>
      <c r="AX235" s="5">
        <v>13738.0</v>
      </c>
      <c r="AY235" s="5">
        <v>11345.0</v>
      </c>
      <c r="AZ235" s="5">
        <v>9406.0</v>
      </c>
      <c r="BA235" s="5">
        <v>6800.0</v>
      </c>
      <c r="BB235" s="5">
        <v>4527.0</v>
      </c>
      <c r="BC235" s="5">
        <v>2890.0</v>
      </c>
      <c r="BD235" s="5">
        <v>2953.0</v>
      </c>
      <c r="BE235" s="4"/>
      <c r="BF235" s="4"/>
      <c r="BG235" s="4"/>
      <c r="BH235" s="4"/>
      <c r="BI235" s="4"/>
      <c r="BJ235" s="4"/>
    </row>
    <row r="236">
      <c r="A236" s="5"/>
      <c r="B236" s="5" t="s">
        <v>192</v>
      </c>
      <c r="C236" s="5">
        <v>130130.0</v>
      </c>
      <c r="D236" s="5">
        <v>16709.0</v>
      </c>
      <c r="E236" s="5">
        <v>15678.0</v>
      </c>
      <c r="F236" s="5">
        <v>14746.0</v>
      </c>
      <c r="G236" s="5">
        <v>13411.0</v>
      </c>
      <c r="H236" s="5">
        <v>12817.0</v>
      </c>
      <c r="I236" s="5">
        <v>10607.0</v>
      </c>
      <c r="J236" s="5">
        <v>8894.0</v>
      </c>
      <c r="K236" s="5">
        <v>7555.0</v>
      </c>
      <c r="L236" s="5">
        <v>6661.0</v>
      </c>
      <c r="M236" s="5">
        <v>5776.0</v>
      </c>
      <c r="N236" s="5">
        <v>4965.0</v>
      </c>
      <c r="O236" s="5">
        <v>3958.0</v>
      </c>
      <c r="P236" s="5">
        <v>3105.0</v>
      </c>
      <c r="Q236" s="5">
        <v>2319.0</v>
      </c>
      <c r="R236" s="5">
        <v>1428.0</v>
      </c>
      <c r="S236" s="5">
        <v>735.0</v>
      </c>
      <c r="T236" s="5">
        <v>766.0</v>
      </c>
      <c r="U236" s="5">
        <v>65458.0</v>
      </c>
      <c r="V236" s="5">
        <v>8700.0</v>
      </c>
      <c r="W236" s="5">
        <v>8067.0</v>
      </c>
      <c r="X236" s="5">
        <v>7494.0</v>
      </c>
      <c r="Y236" s="5">
        <v>6656.0</v>
      </c>
      <c r="Z236" s="5">
        <v>6471.0</v>
      </c>
      <c r="AA236" s="5">
        <v>5262.0</v>
      </c>
      <c r="AB236" s="5">
        <v>4475.0</v>
      </c>
      <c r="AC236" s="5">
        <v>3705.0</v>
      </c>
      <c r="AD236" s="5">
        <v>3373.0</v>
      </c>
      <c r="AE236" s="5">
        <v>2856.0</v>
      </c>
      <c r="AF236" s="5">
        <v>2558.0</v>
      </c>
      <c r="AG236" s="5">
        <v>2037.0</v>
      </c>
      <c r="AH236" s="5">
        <v>1504.0</v>
      </c>
      <c r="AI236" s="5">
        <v>1118.0</v>
      </c>
      <c r="AJ236" s="5">
        <v>639.0</v>
      </c>
      <c r="AK236" s="5">
        <v>296.0</v>
      </c>
      <c r="AL236" s="5">
        <v>247.0</v>
      </c>
      <c r="AM236" s="5">
        <v>64672.0</v>
      </c>
      <c r="AN236" s="5">
        <v>8009.0</v>
      </c>
      <c r="AO236" s="5">
        <v>7611.0</v>
      </c>
      <c r="AP236" s="5">
        <v>7252.0</v>
      </c>
      <c r="AQ236" s="5">
        <v>6755.0</v>
      </c>
      <c r="AR236" s="5">
        <v>6346.0</v>
      </c>
      <c r="AS236" s="5">
        <v>5345.0</v>
      </c>
      <c r="AT236" s="5">
        <v>4419.0</v>
      </c>
      <c r="AU236" s="5">
        <v>3850.0</v>
      </c>
      <c r="AV236" s="5">
        <v>3288.0</v>
      </c>
      <c r="AW236" s="5">
        <v>2920.0</v>
      </c>
      <c r="AX236" s="5">
        <v>2407.0</v>
      </c>
      <c r="AY236" s="5">
        <v>1921.0</v>
      </c>
      <c r="AZ236" s="5">
        <v>1601.0</v>
      </c>
      <c r="BA236" s="5">
        <v>1201.0</v>
      </c>
      <c r="BB236" s="5">
        <v>789.0</v>
      </c>
      <c r="BC236" s="5">
        <v>439.0</v>
      </c>
      <c r="BD236" s="5">
        <v>519.0</v>
      </c>
      <c r="BE236" s="4"/>
      <c r="BF236" s="4"/>
      <c r="BG236" s="4"/>
      <c r="BH236" s="4"/>
      <c r="BI236" s="4"/>
      <c r="BJ236" s="4"/>
    </row>
    <row r="237">
      <c r="A237" s="5"/>
      <c r="B237" s="5" t="s">
        <v>193</v>
      </c>
      <c r="C237" s="5">
        <v>969391.0</v>
      </c>
      <c r="D237" s="5">
        <v>98895.0</v>
      </c>
      <c r="E237" s="5">
        <v>105969.0</v>
      </c>
      <c r="F237" s="5">
        <v>100974.0</v>
      </c>
      <c r="G237" s="5">
        <v>95968.0</v>
      </c>
      <c r="H237" s="5">
        <v>96115.0</v>
      </c>
      <c r="I237" s="5">
        <v>84002.0</v>
      </c>
      <c r="J237" s="5">
        <v>70601.0</v>
      </c>
      <c r="K237" s="5">
        <v>62483.0</v>
      </c>
      <c r="L237" s="5">
        <v>57180.0</v>
      </c>
      <c r="M237" s="5">
        <v>48634.0</v>
      </c>
      <c r="N237" s="5">
        <v>41721.0</v>
      </c>
      <c r="O237" s="5">
        <v>33873.0</v>
      </c>
      <c r="P237" s="5">
        <v>27851.0</v>
      </c>
      <c r="Q237" s="5">
        <v>20077.0</v>
      </c>
      <c r="R237" s="5">
        <v>12395.0</v>
      </c>
      <c r="S237" s="5">
        <v>6550.0</v>
      </c>
      <c r="T237" s="5">
        <v>6103.0</v>
      </c>
      <c r="U237" s="5">
        <v>487081.0</v>
      </c>
      <c r="V237" s="5">
        <v>50455.0</v>
      </c>
      <c r="W237" s="5">
        <v>54431.0</v>
      </c>
      <c r="X237" s="5">
        <v>51508.0</v>
      </c>
      <c r="Y237" s="5">
        <v>48376.0</v>
      </c>
      <c r="Z237" s="5">
        <v>48405.0</v>
      </c>
      <c r="AA237" s="5">
        <v>42597.0</v>
      </c>
      <c r="AB237" s="5">
        <v>35836.0</v>
      </c>
      <c r="AC237" s="5">
        <v>31844.0</v>
      </c>
      <c r="AD237" s="5">
        <v>29073.0</v>
      </c>
      <c r="AE237" s="5">
        <v>24550.0</v>
      </c>
      <c r="AF237" s="5">
        <v>20693.0</v>
      </c>
      <c r="AG237" s="5">
        <v>16768.0</v>
      </c>
      <c r="AH237" s="5">
        <v>13288.0</v>
      </c>
      <c r="AI237" s="5">
        <v>9451.0</v>
      </c>
      <c r="AJ237" s="5">
        <v>5281.0</v>
      </c>
      <c r="AK237" s="5">
        <v>2543.0</v>
      </c>
      <c r="AL237" s="5">
        <v>1982.0</v>
      </c>
      <c r="AM237" s="5">
        <v>482310.0</v>
      </c>
      <c r="AN237" s="5">
        <v>48440.0</v>
      </c>
      <c r="AO237" s="5">
        <v>51538.0</v>
      </c>
      <c r="AP237" s="5">
        <v>49466.0</v>
      </c>
      <c r="AQ237" s="5">
        <v>47592.0</v>
      </c>
      <c r="AR237" s="5">
        <v>47710.0</v>
      </c>
      <c r="AS237" s="5">
        <v>41405.0</v>
      </c>
      <c r="AT237" s="5">
        <v>34765.0</v>
      </c>
      <c r="AU237" s="5">
        <v>30639.0</v>
      </c>
      <c r="AV237" s="5">
        <v>28107.0</v>
      </c>
      <c r="AW237" s="5">
        <v>24084.0</v>
      </c>
      <c r="AX237" s="5">
        <v>21028.0</v>
      </c>
      <c r="AY237" s="5">
        <v>17105.0</v>
      </c>
      <c r="AZ237" s="5">
        <v>14563.0</v>
      </c>
      <c r="BA237" s="5">
        <v>10626.0</v>
      </c>
      <c r="BB237" s="5">
        <v>7114.0</v>
      </c>
      <c r="BC237" s="5">
        <v>4007.0</v>
      </c>
      <c r="BD237" s="5">
        <v>4121.0</v>
      </c>
      <c r="BE237" s="4"/>
      <c r="BF237" s="4"/>
      <c r="BG237" s="4"/>
      <c r="BH237" s="4"/>
      <c r="BI237" s="4"/>
      <c r="BJ237" s="4"/>
    </row>
    <row r="238">
      <c r="A238" s="5"/>
      <c r="B238" s="5" t="s">
        <v>194</v>
      </c>
      <c r="C238" s="5">
        <v>5007798.0</v>
      </c>
      <c r="D238" s="5">
        <v>546295.0</v>
      </c>
      <c r="E238" s="5">
        <v>567054.0</v>
      </c>
      <c r="F238" s="5">
        <v>541787.0</v>
      </c>
      <c r="G238" s="5">
        <v>501159.0</v>
      </c>
      <c r="H238" s="5">
        <v>453277.0</v>
      </c>
      <c r="I238" s="5">
        <v>415346.0</v>
      </c>
      <c r="J238" s="5">
        <v>364653.0</v>
      </c>
      <c r="K238" s="5">
        <v>306012.0</v>
      </c>
      <c r="L238" s="5">
        <v>278384.0</v>
      </c>
      <c r="M238" s="5">
        <v>241383.0</v>
      </c>
      <c r="N238" s="5">
        <v>214965.0</v>
      </c>
      <c r="O238" s="5">
        <v>182473.0</v>
      </c>
      <c r="P238" s="5">
        <v>148102.0</v>
      </c>
      <c r="Q238" s="5">
        <v>105198.0</v>
      </c>
      <c r="R238" s="5">
        <v>64739.0</v>
      </c>
      <c r="S238" s="5">
        <v>38337.0</v>
      </c>
      <c r="T238" s="5">
        <v>38634.0</v>
      </c>
      <c r="U238" s="5">
        <v>2554944.0</v>
      </c>
      <c r="V238" s="5">
        <v>281472.0</v>
      </c>
      <c r="W238" s="5">
        <v>293294.0</v>
      </c>
      <c r="X238" s="5">
        <v>278695.0</v>
      </c>
      <c r="Y238" s="5">
        <v>254943.0</v>
      </c>
      <c r="Z238" s="5">
        <v>230324.0</v>
      </c>
      <c r="AA238" s="5">
        <v>212798.0</v>
      </c>
      <c r="AB238" s="5">
        <v>190277.0</v>
      </c>
      <c r="AC238" s="5">
        <v>159554.0</v>
      </c>
      <c r="AD238" s="5">
        <v>144581.0</v>
      </c>
      <c r="AE238" s="5">
        <v>124356.0</v>
      </c>
      <c r="AF238" s="5">
        <v>108799.0</v>
      </c>
      <c r="AG238" s="5">
        <v>92030.0</v>
      </c>
      <c r="AH238" s="5">
        <v>73103.0</v>
      </c>
      <c r="AI238" s="5">
        <v>50842.0</v>
      </c>
      <c r="AJ238" s="5">
        <v>29749.0</v>
      </c>
      <c r="AK238" s="5">
        <v>16130.0</v>
      </c>
      <c r="AL238" s="5">
        <v>13997.0</v>
      </c>
      <c r="AM238" s="5">
        <v>2452854.0</v>
      </c>
      <c r="AN238" s="5">
        <v>264823.0</v>
      </c>
      <c r="AO238" s="5">
        <v>273760.0</v>
      </c>
      <c r="AP238" s="5">
        <v>263092.0</v>
      </c>
      <c r="AQ238" s="5">
        <v>246216.0</v>
      </c>
      <c r="AR238" s="5">
        <v>222953.0</v>
      </c>
      <c r="AS238" s="5">
        <v>202548.0</v>
      </c>
      <c r="AT238" s="5">
        <v>174376.0</v>
      </c>
      <c r="AU238" s="5">
        <v>146458.0</v>
      </c>
      <c r="AV238" s="5">
        <v>133803.0</v>
      </c>
      <c r="AW238" s="5">
        <v>117027.0</v>
      </c>
      <c r="AX238" s="5">
        <v>106166.0</v>
      </c>
      <c r="AY238" s="5">
        <v>90443.0</v>
      </c>
      <c r="AZ238" s="5">
        <v>74999.0</v>
      </c>
      <c r="BA238" s="5">
        <v>54356.0</v>
      </c>
      <c r="BB238" s="5">
        <v>34990.0</v>
      </c>
      <c r="BC238" s="5">
        <v>22207.0</v>
      </c>
      <c r="BD238" s="5">
        <v>24637.0</v>
      </c>
      <c r="BE238" s="4"/>
      <c r="BF238" s="4"/>
      <c r="BG238" s="4"/>
      <c r="BH238" s="4"/>
      <c r="BI238" s="4"/>
      <c r="BJ238" s="4"/>
    </row>
    <row r="239">
      <c r="A239" s="5"/>
      <c r="B239" s="5" t="s">
        <v>195</v>
      </c>
      <c r="C239" s="5">
        <v>1537629.0</v>
      </c>
      <c r="D239" s="5">
        <v>170498.0</v>
      </c>
      <c r="E239" s="5">
        <v>185288.0</v>
      </c>
      <c r="F239" s="5">
        <v>175390.0</v>
      </c>
      <c r="G239" s="5">
        <v>157284.0</v>
      </c>
      <c r="H239" s="5">
        <v>137550.0</v>
      </c>
      <c r="I239" s="5">
        <v>127764.0</v>
      </c>
      <c r="J239" s="5">
        <v>114155.0</v>
      </c>
      <c r="K239" s="5">
        <v>93764.0</v>
      </c>
      <c r="L239" s="5">
        <v>83418.0</v>
      </c>
      <c r="M239" s="5">
        <v>71132.0</v>
      </c>
      <c r="N239" s="5">
        <v>62010.0</v>
      </c>
      <c r="O239" s="5">
        <v>52092.0</v>
      </c>
      <c r="P239" s="5">
        <v>41778.0</v>
      </c>
      <c r="Q239" s="5">
        <v>28333.0</v>
      </c>
      <c r="R239" s="5">
        <v>16883.0</v>
      </c>
      <c r="S239" s="5">
        <v>10025.0</v>
      </c>
      <c r="T239" s="5">
        <v>10265.0</v>
      </c>
      <c r="U239" s="5">
        <v>798656.0</v>
      </c>
      <c r="V239" s="5">
        <v>88353.0</v>
      </c>
      <c r="W239" s="5">
        <v>95683.0</v>
      </c>
      <c r="X239" s="5">
        <v>90325.0</v>
      </c>
      <c r="Y239" s="5">
        <v>80861.0</v>
      </c>
      <c r="Z239" s="5">
        <v>70877.0</v>
      </c>
      <c r="AA239" s="5">
        <v>67148.0</v>
      </c>
      <c r="AB239" s="5">
        <v>60849.0</v>
      </c>
      <c r="AC239" s="5">
        <v>50224.0</v>
      </c>
      <c r="AD239" s="5">
        <v>44606.0</v>
      </c>
      <c r="AE239" s="5">
        <v>37576.0</v>
      </c>
      <c r="AF239" s="5">
        <v>32230.0</v>
      </c>
      <c r="AG239" s="5">
        <v>27097.0</v>
      </c>
      <c r="AH239" s="5">
        <v>21398.0</v>
      </c>
      <c r="AI239" s="5">
        <v>14330.0</v>
      </c>
      <c r="AJ239" s="5">
        <v>8355.0</v>
      </c>
      <c r="AK239" s="5">
        <v>4628.0</v>
      </c>
      <c r="AL239" s="5">
        <v>4116.0</v>
      </c>
      <c r="AM239" s="5">
        <v>738973.0</v>
      </c>
      <c r="AN239" s="5">
        <v>82145.0</v>
      </c>
      <c r="AO239" s="5">
        <v>89605.0</v>
      </c>
      <c r="AP239" s="5">
        <v>85065.0</v>
      </c>
      <c r="AQ239" s="5">
        <v>76423.0</v>
      </c>
      <c r="AR239" s="5">
        <v>66673.0</v>
      </c>
      <c r="AS239" s="5">
        <v>60616.0</v>
      </c>
      <c r="AT239" s="5">
        <v>53306.0</v>
      </c>
      <c r="AU239" s="5">
        <v>43540.0</v>
      </c>
      <c r="AV239" s="5">
        <v>38812.0</v>
      </c>
      <c r="AW239" s="5">
        <v>33556.0</v>
      </c>
      <c r="AX239" s="5">
        <v>29780.0</v>
      </c>
      <c r="AY239" s="5">
        <v>24995.0</v>
      </c>
      <c r="AZ239" s="5">
        <v>20380.0</v>
      </c>
      <c r="BA239" s="5">
        <v>14003.0</v>
      </c>
      <c r="BB239" s="5">
        <v>8528.0</v>
      </c>
      <c r="BC239" s="5">
        <v>5397.0</v>
      </c>
      <c r="BD239" s="5">
        <v>6149.0</v>
      </c>
      <c r="BE239" s="4"/>
      <c r="BF239" s="4"/>
      <c r="BG239" s="4"/>
      <c r="BH239" s="4"/>
      <c r="BI239" s="4"/>
      <c r="BJ239" s="4"/>
    </row>
    <row r="240">
      <c r="A240" s="5"/>
      <c r="B240" s="5" t="s">
        <v>196</v>
      </c>
      <c r="C240" s="5">
        <v>92696.0</v>
      </c>
      <c r="D240" s="5">
        <v>8900.0</v>
      </c>
      <c r="E240" s="5">
        <v>10043.0</v>
      </c>
      <c r="F240" s="5">
        <v>9708.0</v>
      </c>
      <c r="G240" s="5">
        <v>9104.0</v>
      </c>
      <c r="H240" s="5">
        <v>7407.0</v>
      </c>
      <c r="I240" s="5">
        <v>6626.0</v>
      </c>
      <c r="J240" s="5">
        <v>5846.0</v>
      </c>
      <c r="K240" s="5">
        <v>5399.0</v>
      </c>
      <c r="L240" s="5">
        <v>5203.0</v>
      </c>
      <c r="M240" s="5">
        <v>4891.0</v>
      </c>
      <c r="N240" s="5">
        <v>4799.0</v>
      </c>
      <c r="O240" s="5">
        <v>4257.0</v>
      </c>
      <c r="P240" s="5">
        <v>3363.0</v>
      </c>
      <c r="Q240" s="5">
        <v>2552.0</v>
      </c>
      <c r="R240" s="5">
        <v>1865.0</v>
      </c>
      <c r="S240" s="5">
        <v>1322.0</v>
      </c>
      <c r="T240" s="5">
        <v>1411.0</v>
      </c>
      <c r="U240" s="5">
        <v>47131.0</v>
      </c>
      <c r="V240" s="5">
        <v>4609.0</v>
      </c>
      <c r="W240" s="5">
        <v>5193.0</v>
      </c>
      <c r="X240" s="5">
        <v>5063.0</v>
      </c>
      <c r="Y240" s="5">
        <v>4646.0</v>
      </c>
      <c r="Z240" s="5">
        <v>3831.0</v>
      </c>
      <c r="AA240" s="5">
        <v>3314.0</v>
      </c>
      <c r="AB240" s="5">
        <v>3047.0</v>
      </c>
      <c r="AC240" s="5">
        <v>2820.0</v>
      </c>
      <c r="AD240" s="5">
        <v>2730.0</v>
      </c>
      <c r="AE240" s="5">
        <v>2490.0</v>
      </c>
      <c r="AF240" s="5">
        <v>2446.0</v>
      </c>
      <c r="AG240" s="5">
        <v>2179.0</v>
      </c>
      <c r="AH240" s="5">
        <v>1696.0</v>
      </c>
      <c r="AI240" s="5">
        <v>1222.0</v>
      </c>
      <c r="AJ240" s="5">
        <v>835.0</v>
      </c>
      <c r="AK240" s="5">
        <v>535.0</v>
      </c>
      <c r="AL240" s="5">
        <v>475.0</v>
      </c>
      <c r="AM240" s="5">
        <v>45565.0</v>
      </c>
      <c r="AN240" s="5">
        <v>4291.0</v>
      </c>
      <c r="AO240" s="5">
        <v>4850.0</v>
      </c>
      <c r="AP240" s="5">
        <v>4645.0</v>
      </c>
      <c r="AQ240" s="5">
        <v>4458.0</v>
      </c>
      <c r="AR240" s="5">
        <v>3576.0</v>
      </c>
      <c r="AS240" s="5">
        <v>3312.0</v>
      </c>
      <c r="AT240" s="5">
        <v>2799.0</v>
      </c>
      <c r="AU240" s="5">
        <v>2579.0</v>
      </c>
      <c r="AV240" s="5">
        <v>2473.0</v>
      </c>
      <c r="AW240" s="5">
        <v>2401.0</v>
      </c>
      <c r="AX240" s="5">
        <v>2353.0</v>
      </c>
      <c r="AY240" s="5">
        <v>2078.0</v>
      </c>
      <c r="AZ240" s="5">
        <v>1667.0</v>
      </c>
      <c r="BA240" s="5">
        <v>1330.0</v>
      </c>
      <c r="BB240" s="5">
        <v>1030.0</v>
      </c>
      <c r="BC240" s="5">
        <v>787.0</v>
      </c>
      <c r="BD240" s="5">
        <v>936.0</v>
      </c>
      <c r="BE240" s="4"/>
      <c r="BF240" s="4"/>
      <c r="BG240" s="4"/>
      <c r="BH240" s="4"/>
      <c r="BI240" s="4"/>
      <c r="BJ240" s="4"/>
    </row>
    <row r="241">
      <c r="A241" s="5"/>
      <c r="B241" s="5" t="s">
        <v>197</v>
      </c>
      <c r="C241" s="5">
        <v>721716.0</v>
      </c>
      <c r="D241" s="5">
        <v>89818.0</v>
      </c>
      <c r="E241" s="5">
        <v>92406.0</v>
      </c>
      <c r="F241" s="5">
        <v>86380.0</v>
      </c>
      <c r="G241" s="5">
        <v>77378.0</v>
      </c>
      <c r="H241" s="5">
        <v>67926.0</v>
      </c>
      <c r="I241" s="5">
        <v>59936.0</v>
      </c>
      <c r="J241" s="5">
        <v>49458.0</v>
      </c>
      <c r="K241" s="5">
        <v>41258.0</v>
      </c>
      <c r="L241" s="5">
        <v>36459.0</v>
      </c>
      <c r="M241" s="5">
        <v>30494.0</v>
      </c>
      <c r="N241" s="5">
        <v>26039.0</v>
      </c>
      <c r="O241" s="5">
        <v>20413.0</v>
      </c>
      <c r="P241" s="5">
        <v>16474.0</v>
      </c>
      <c r="Q241" s="5">
        <v>11709.0</v>
      </c>
      <c r="R241" s="5">
        <v>7443.0</v>
      </c>
      <c r="S241" s="5">
        <v>3997.0</v>
      </c>
      <c r="T241" s="5">
        <v>4128.0</v>
      </c>
      <c r="U241" s="5">
        <v>362139.0</v>
      </c>
      <c r="V241" s="5">
        <v>45841.0</v>
      </c>
      <c r="W241" s="5">
        <v>46758.0</v>
      </c>
      <c r="X241" s="5">
        <v>43577.0</v>
      </c>
      <c r="Y241" s="5">
        <v>38426.0</v>
      </c>
      <c r="Z241" s="5">
        <v>33622.0</v>
      </c>
      <c r="AA241" s="5">
        <v>29444.0</v>
      </c>
      <c r="AB241" s="5">
        <v>25147.0</v>
      </c>
      <c r="AC241" s="5">
        <v>21005.0</v>
      </c>
      <c r="AD241" s="5">
        <v>18650.0</v>
      </c>
      <c r="AE241" s="5">
        <v>15587.0</v>
      </c>
      <c r="AF241" s="5">
        <v>13066.0</v>
      </c>
      <c r="AG241" s="5">
        <v>10434.0</v>
      </c>
      <c r="AH241" s="5">
        <v>8224.0</v>
      </c>
      <c r="AI241" s="5">
        <v>5645.0</v>
      </c>
      <c r="AJ241" s="5">
        <v>3439.0</v>
      </c>
      <c r="AK241" s="5">
        <v>1716.0</v>
      </c>
      <c r="AL241" s="5">
        <v>1558.0</v>
      </c>
      <c r="AM241" s="5">
        <v>359577.0</v>
      </c>
      <c r="AN241" s="5">
        <v>43977.0</v>
      </c>
      <c r="AO241" s="5">
        <v>45648.0</v>
      </c>
      <c r="AP241" s="5">
        <v>42803.0</v>
      </c>
      <c r="AQ241" s="5">
        <v>38952.0</v>
      </c>
      <c r="AR241" s="5">
        <v>34304.0</v>
      </c>
      <c r="AS241" s="5">
        <v>30492.0</v>
      </c>
      <c r="AT241" s="5">
        <v>24311.0</v>
      </c>
      <c r="AU241" s="5">
        <v>20253.0</v>
      </c>
      <c r="AV241" s="5">
        <v>17809.0</v>
      </c>
      <c r="AW241" s="5">
        <v>14907.0</v>
      </c>
      <c r="AX241" s="5">
        <v>12973.0</v>
      </c>
      <c r="AY241" s="5">
        <v>9979.0</v>
      </c>
      <c r="AZ241" s="5">
        <v>8250.0</v>
      </c>
      <c r="BA241" s="5">
        <v>6064.0</v>
      </c>
      <c r="BB241" s="5">
        <v>4004.0</v>
      </c>
      <c r="BC241" s="5">
        <v>2281.0</v>
      </c>
      <c r="BD241" s="5">
        <v>2570.0</v>
      </c>
      <c r="BE241" s="4"/>
      <c r="BF241" s="4"/>
      <c r="BG241" s="4"/>
      <c r="BH241" s="4"/>
      <c r="BI241" s="4"/>
      <c r="BJ241" s="4"/>
    </row>
    <row r="242">
      <c r="A242" s="5"/>
      <c r="B242" s="5" t="s">
        <v>198</v>
      </c>
      <c r="C242" s="5">
        <v>614951.0</v>
      </c>
      <c r="D242" s="5">
        <v>60324.0</v>
      </c>
      <c r="E242" s="5">
        <v>62220.0</v>
      </c>
      <c r="F242" s="5">
        <v>62050.0</v>
      </c>
      <c r="G242" s="5">
        <v>60305.0</v>
      </c>
      <c r="H242" s="5">
        <v>52922.0</v>
      </c>
      <c r="I242" s="5">
        <v>46899.0</v>
      </c>
      <c r="J242" s="5">
        <v>41593.0</v>
      </c>
      <c r="K242" s="5">
        <v>36189.0</v>
      </c>
      <c r="L242" s="5">
        <v>35244.0</v>
      </c>
      <c r="M242" s="5">
        <v>32847.0</v>
      </c>
      <c r="N242" s="5">
        <v>31009.0</v>
      </c>
      <c r="O242" s="5">
        <v>26925.0</v>
      </c>
      <c r="P242" s="5">
        <v>22547.0</v>
      </c>
      <c r="Q242" s="5">
        <v>16914.0</v>
      </c>
      <c r="R242" s="5">
        <v>11497.0</v>
      </c>
      <c r="S242" s="5">
        <v>7759.0</v>
      </c>
      <c r="T242" s="5">
        <v>7707.0</v>
      </c>
      <c r="U242" s="5">
        <v>310907.0</v>
      </c>
      <c r="V242" s="5">
        <v>30890.0</v>
      </c>
      <c r="W242" s="5">
        <v>32349.0</v>
      </c>
      <c r="X242" s="5">
        <v>32035.0</v>
      </c>
      <c r="Y242" s="5">
        <v>30820.0</v>
      </c>
      <c r="Z242" s="5">
        <v>27058.0</v>
      </c>
      <c r="AA242" s="5">
        <v>24020.0</v>
      </c>
      <c r="AB242" s="5">
        <v>21548.0</v>
      </c>
      <c r="AC242" s="5">
        <v>18733.0</v>
      </c>
      <c r="AD242" s="5">
        <v>18316.0</v>
      </c>
      <c r="AE242" s="5">
        <v>16827.0</v>
      </c>
      <c r="AF242" s="5">
        <v>15728.0</v>
      </c>
      <c r="AG242" s="5">
        <v>13416.0</v>
      </c>
      <c r="AH242" s="5">
        <v>10828.0</v>
      </c>
      <c r="AI242" s="5">
        <v>7814.0</v>
      </c>
      <c r="AJ242" s="5">
        <v>4933.0</v>
      </c>
      <c r="AK242" s="5">
        <v>3036.0</v>
      </c>
      <c r="AL242" s="5">
        <v>2556.0</v>
      </c>
      <c r="AM242" s="5">
        <v>304044.0</v>
      </c>
      <c r="AN242" s="5">
        <v>29434.0</v>
      </c>
      <c r="AO242" s="5">
        <v>29871.0</v>
      </c>
      <c r="AP242" s="5">
        <v>30015.0</v>
      </c>
      <c r="AQ242" s="5">
        <v>29485.0</v>
      </c>
      <c r="AR242" s="5">
        <v>25864.0</v>
      </c>
      <c r="AS242" s="5">
        <v>22879.0</v>
      </c>
      <c r="AT242" s="5">
        <v>20045.0</v>
      </c>
      <c r="AU242" s="5">
        <v>17456.0</v>
      </c>
      <c r="AV242" s="5">
        <v>16928.0</v>
      </c>
      <c r="AW242" s="5">
        <v>16020.0</v>
      </c>
      <c r="AX242" s="5">
        <v>15281.0</v>
      </c>
      <c r="AY242" s="5">
        <v>13509.0</v>
      </c>
      <c r="AZ242" s="5">
        <v>11719.0</v>
      </c>
      <c r="BA242" s="5">
        <v>9100.0</v>
      </c>
      <c r="BB242" s="5">
        <v>6564.0</v>
      </c>
      <c r="BC242" s="5">
        <v>4723.0</v>
      </c>
      <c r="BD242" s="5">
        <v>5151.0</v>
      </c>
      <c r="BE242" s="4"/>
      <c r="BF242" s="4"/>
      <c r="BG242" s="4"/>
      <c r="BH242" s="4"/>
      <c r="BI242" s="4"/>
      <c r="BJ242" s="4"/>
    </row>
    <row r="243">
      <c r="A243" s="5"/>
      <c r="B243" s="5" t="s">
        <v>199</v>
      </c>
      <c r="C243" s="5">
        <v>954953.0</v>
      </c>
      <c r="D243" s="5">
        <v>106534.0</v>
      </c>
      <c r="E243" s="5">
        <v>107947.0</v>
      </c>
      <c r="F243" s="5">
        <v>102942.0</v>
      </c>
      <c r="G243" s="5">
        <v>94822.0</v>
      </c>
      <c r="H243" s="5">
        <v>82854.0</v>
      </c>
      <c r="I243" s="5">
        <v>76091.0</v>
      </c>
      <c r="J243" s="5">
        <v>68842.0</v>
      </c>
      <c r="K243" s="5">
        <v>57613.0</v>
      </c>
      <c r="L243" s="5">
        <v>52678.0</v>
      </c>
      <c r="M243" s="5">
        <v>45763.0</v>
      </c>
      <c r="N243" s="5">
        <v>41970.0</v>
      </c>
      <c r="O243" s="5">
        <v>36784.0</v>
      </c>
      <c r="P243" s="5">
        <v>29590.0</v>
      </c>
      <c r="Q243" s="5">
        <v>21384.0</v>
      </c>
      <c r="R243" s="5">
        <v>13159.0</v>
      </c>
      <c r="S243" s="5">
        <v>7850.0</v>
      </c>
      <c r="T243" s="5">
        <v>8130.0</v>
      </c>
      <c r="U243" s="5">
        <v>489483.0</v>
      </c>
      <c r="V243" s="5">
        <v>54814.0</v>
      </c>
      <c r="W243" s="5">
        <v>56462.0</v>
      </c>
      <c r="X243" s="5">
        <v>53314.0</v>
      </c>
      <c r="Y243" s="5">
        <v>48807.0</v>
      </c>
      <c r="Z243" s="5">
        <v>42849.0</v>
      </c>
      <c r="AA243" s="5">
        <v>39396.0</v>
      </c>
      <c r="AB243" s="5">
        <v>36056.0</v>
      </c>
      <c r="AC243" s="5">
        <v>30202.0</v>
      </c>
      <c r="AD243" s="5">
        <v>27341.0</v>
      </c>
      <c r="AE243" s="5">
        <v>23551.0</v>
      </c>
      <c r="AF243" s="5">
        <v>21117.0</v>
      </c>
      <c r="AG243" s="5">
        <v>18466.0</v>
      </c>
      <c r="AH243" s="5">
        <v>14589.0</v>
      </c>
      <c r="AI243" s="5">
        <v>10426.0</v>
      </c>
      <c r="AJ243" s="5">
        <v>5959.0</v>
      </c>
      <c r="AK243" s="5">
        <v>3239.0</v>
      </c>
      <c r="AL243" s="5">
        <v>2895.0</v>
      </c>
      <c r="AM243" s="5">
        <v>465470.0</v>
      </c>
      <c r="AN243" s="5">
        <v>51720.0</v>
      </c>
      <c r="AO243" s="5">
        <v>51485.0</v>
      </c>
      <c r="AP243" s="5">
        <v>49628.0</v>
      </c>
      <c r="AQ243" s="5">
        <v>46015.0</v>
      </c>
      <c r="AR243" s="5">
        <v>40005.0</v>
      </c>
      <c r="AS243" s="5">
        <v>36695.0</v>
      </c>
      <c r="AT243" s="5">
        <v>32786.0</v>
      </c>
      <c r="AU243" s="5">
        <v>27411.0</v>
      </c>
      <c r="AV243" s="5">
        <v>25337.0</v>
      </c>
      <c r="AW243" s="5">
        <v>22212.0</v>
      </c>
      <c r="AX243" s="5">
        <v>20853.0</v>
      </c>
      <c r="AY243" s="5">
        <v>18318.0</v>
      </c>
      <c r="AZ243" s="5">
        <v>15001.0</v>
      </c>
      <c r="BA243" s="5">
        <v>10958.0</v>
      </c>
      <c r="BB243" s="5">
        <v>7200.0</v>
      </c>
      <c r="BC243" s="5">
        <v>4611.0</v>
      </c>
      <c r="BD243" s="5">
        <v>5235.0</v>
      </c>
      <c r="BE243" s="4"/>
      <c r="BF243" s="4"/>
      <c r="BG243" s="4"/>
      <c r="BH243" s="4"/>
      <c r="BI243" s="4"/>
      <c r="BJ243" s="4"/>
    </row>
    <row r="244">
      <c r="A244" s="5"/>
      <c r="B244" s="5" t="s">
        <v>200</v>
      </c>
      <c r="C244" s="5">
        <v>723671.0</v>
      </c>
      <c r="D244" s="5">
        <v>71238.0</v>
      </c>
      <c r="E244" s="5">
        <v>70684.0</v>
      </c>
      <c r="F244" s="5">
        <v>67882.0</v>
      </c>
      <c r="G244" s="5">
        <v>65712.0</v>
      </c>
      <c r="H244" s="5">
        <v>70707.0</v>
      </c>
      <c r="I244" s="5">
        <v>67243.0</v>
      </c>
      <c r="J244" s="5">
        <v>59278.0</v>
      </c>
      <c r="K244" s="5">
        <v>49642.0</v>
      </c>
      <c r="L244" s="5">
        <v>44938.0</v>
      </c>
      <c r="M244" s="5">
        <v>38163.0</v>
      </c>
      <c r="N244" s="5">
        <v>32929.0</v>
      </c>
      <c r="O244" s="5">
        <v>27697.0</v>
      </c>
      <c r="P244" s="5">
        <v>22784.0</v>
      </c>
      <c r="Q244" s="5">
        <v>16219.0</v>
      </c>
      <c r="R244" s="5">
        <v>9178.0</v>
      </c>
      <c r="S244" s="5">
        <v>4832.0</v>
      </c>
      <c r="T244" s="5">
        <v>4545.0</v>
      </c>
      <c r="U244" s="5">
        <v>364706.0</v>
      </c>
      <c r="V244" s="5">
        <v>36791.0</v>
      </c>
      <c r="W244" s="5">
        <v>36721.0</v>
      </c>
      <c r="X244" s="5">
        <v>34970.0</v>
      </c>
      <c r="Y244" s="5">
        <v>33079.0</v>
      </c>
      <c r="Z244" s="5">
        <v>35134.0</v>
      </c>
      <c r="AA244" s="5">
        <v>34012.0</v>
      </c>
      <c r="AB244" s="5">
        <v>30619.0</v>
      </c>
      <c r="AC244" s="5">
        <v>25428.0</v>
      </c>
      <c r="AD244" s="5">
        <v>22764.0</v>
      </c>
      <c r="AE244" s="5">
        <v>19330.0</v>
      </c>
      <c r="AF244" s="5">
        <v>16357.0</v>
      </c>
      <c r="AG244" s="5">
        <v>13494.0</v>
      </c>
      <c r="AH244" s="5">
        <v>10791.0</v>
      </c>
      <c r="AI244" s="5">
        <v>7543.0</v>
      </c>
      <c r="AJ244" s="5">
        <v>4151.0</v>
      </c>
      <c r="AK244" s="5">
        <v>1963.0</v>
      </c>
      <c r="AL244" s="5">
        <v>1559.0</v>
      </c>
      <c r="AM244" s="5">
        <v>358965.0</v>
      </c>
      <c r="AN244" s="5">
        <v>34447.0</v>
      </c>
      <c r="AO244" s="5">
        <v>33963.0</v>
      </c>
      <c r="AP244" s="5">
        <v>32912.0</v>
      </c>
      <c r="AQ244" s="5">
        <v>32633.0</v>
      </c>
      <c r="AR244" s="5">
        <v>35573.0</v>
      </c>
      <c r="AS244" s="5">
        <v>33231.0</v>
      </c>
      <c r="AT244" s="5">
        <v>28659.0</v>
      </c>
      <c r="AU244" s="5">
        <v>24214.0</v>
      </c>
      <c r="AV244" s="5">
        <v>22174.0</v>
      </c>
      <c r="AW244" s="5">
        <v>18833.0</v>
      </c>
      <c r="AX244" s="5">
        <v>16572.0</v>
      </c>
      <c r="AY244" s="5">
        <v>14203.0</v>
      </c>
      <c r="AZ244" s="5">
        <v>11993.0</v>
      </c>
      <c r="BA244" s="5">
        <v>8676.0</v>
      </c>
      <c r="BB244" s="5">
        <v>5027.0</v>
      </c>
      <c r="BC244" s="5">
        <v>2869.0</v>
      </c>
      <c r="BD244" s="5">
        <v>2986.0</v>
      </c>
      <c r="BE244" s="4"/>
      <c r="BF244" s="4"/>
      <c r="BG244" s="4"/>
      <c r="BH244" s="4"/>
      <c r="BI244" s="4"/>
      <c r="BJ244" s="4"/>
    </row>
    <row r="245">
      <c r="A245" s="5"/>
      <c r="B245" s="5" t="s">
        <v>201</v>
      </c>
      <c r="C245" s="5">
        <v>362182.0</v>
      </c>
      <c r="D245" s="5">
        <v>38983.0</v>
      </c>
      <c r="E245" s="5">
        <v>38466.0</v>
      </c>
      <c r="F245" s="5">
        <v>37435.0</v>
      </c>
      <c r="G245" s="5">
        <v>36554.0</v>
      </c>
      <c r="H245" s="5">
        <v>33911.0</v>
      </c>
      <c r="I245" s="5">
        <v>30787.0</v>
      </c>
      <c r="J245" s="5">
        <v>25481.0</v>
      </c>
      <c r="K245" s="5">
        <v>22147.0</v>
      </c>
      <c r="L245" s="5">
        <v>20444.0</v>
      </c>
      <c r="M245" s="5">
        <v>18093.0</v>
      </c>
      <c r="N245" s="5">
        <v>16209.0</v>
      </c>
      <c r="O245" s="5">
        <v>14305.0</v>
      </c>
      <c r="P245" s="5">
        <v>11566.0</v>
      </c>
      <c r="Q245" s="5">
        <v>8087.0</v>
      </c>
      <c r="R245" s="5">
        <v>4714.0</v>
      </c>
      <c r="S245" s="5">
        <v>2552.0</v>
      </c>
      <c r="T245" s="5">
        <v>2448.0</v>
      </c>
      <c r="U245" s="5">
        <v>181922.0</v>
      </c>
      <c r="V245" s="5">
        <v>20174.0</v>
      </c>
      <c r="W245" s="5">
        <v>20128.0</v>
      </c>
      <c r="X245" s="5">
        <v>19411.0</v>
      </c>
      <c r="Y245" s="5">
        <v>18304.0</v>
      </c>
      <c r="Z245" s="5">
        <v>16953.0</v>
      </c>
      <c r="AA245" s="5">
        <v>15464.0</v>
      </c>
      <c r="AB245" s="5">
        <v>13011.0</v>
      </c>
      <c r="AC245" s="5">
        <v>11142.0</v>
      </c>
      <c r="AD245" s="5">
        <v>10174.0</v>
      </c>
      <c r="AE245" s="5">
        <v>8995.0</v>
      </c>
      <c r="AF245" s="5">
        <v>7855.0</v>
      </c>
      <c r="AG245" s="5">
        <v>6944.0</v>
      </c>
      <c r="AH245" s="5">
        <v>5577.0</v>
      </c>
      <c r="AI245" s="5">
        <v>3862.0</v>
      </c>
      <c r="AJ245" s="5">
        <v>2077.0</v>
      </c>
      <c r="AK245" s="5">
        <v>1013.0</v>
      </c>
      <c r="AL245" s="5">
        <v>838.0</v>
      </c>
      <c r="AM245" s="5">
        <v>180260.0</v>
      </c>
      <c r="AN245" s="5">
        <v>18809.0</v>
      </c>
      <c r="AO245" s="5">
        <v>18338.0</v>
      </c>
      <c r="AP245" s="5">
        <v>18024.0</v>
      </c>
      <c r="AQ245" s="5">
        <v>18250.0</v>
      </c>
      <c r="AR245" s="5">
        <v>16958.0</v>
      </c>
      <c r="AS245" s="5">
        <v>15323.0</v>
      </c>
      <c r="AT245" s="5">
        <v>12470.0</v>
      </c>
      <c r="AU245" s="5">
        <v>11005.0</v>
      </c>
      <c r="AV245" s="5">
        <v>10270.0</v>
      </c>
      <c r="AW245" s="5">
        <v>9098.0</v>
      </c>
      <c r="AX245" s="5">
        <v>8354.0</v>
      </c>
      <c r="AY245" s="5">
        <v>7361.0</v>
      </c>
      <c r="AZ245" s="5">
        <v>5989.0</v>
      </c>
      <c r="BA245" s="5">
        <v>4225.0</v>
      </c>
      <c r="BB245" s="5">
        <v>2637.0</v>
      </c>
      <c r="BC245" s="5">
        <v>1539.0</v>
      </c>
      <c r="BD245" s="5">
        <v>1610.0</v>
      </c>
      <c r="BE245" s="4"/>
      <c r="BF245" s="4"/>
      <c r="BG245" s="4"/>
      <c r="BH245" s="4"/>
      <c r="BI245" s="4"/>
      <c r="BJ245" s="4"/>
    </row>
    <row r="246">
      <c r="A246" s="5"/>
      <c r="B246" s="5" t="s">
        <v>202</v>
      </c>
      <c r="C246" s="5">
        <v>5223802.0</v>
      </c>
      <c r="D246" s="5">
        <v>541966.0</v>
      </c>
      <c r="E246" s="5">
        <v>551361.0</v>
      </c>
      <c r="F246" s="5">
        <v>543958.0</v>
      </c>
      <c r="G246" s="5">
        <v>497777.0</v>
      </c>
      <c r="H246" s="5">
        <v>472920.0</v>
      </c>
      <c r="I246" s="5">
        <v>442420.0</v>
      </c>
      <c r="J246" s="5">
        <v>405656.0</v>
      </c>
      <c r="K246" s="5">
        <v>342357.0</v>
      </c>
      <c r="L246" s="5">
        <v>308114.0</v>
      </c>
      <c r="M246" s="5">
        <v>266089.0</v>
      </c>
      <c r="N246" s="5">
        <v>231429.0</v>
      </c>
      <c r="O246" s="5">
        <v>192933.0</v>
      </c>
      <c r="P246" s="5">
        <v>162164.0</v>
      </c>
      <c r="Q246" s="5">
        <v>114505.0</v>
      </c>
      <c r="R246" s="5">
        <v>70747.0</v>
      </c>
      <c r="S246" s="5">
        <v>40265.0</v>
      </c>
      <c r="T246" s="5">
        <v>39141.0</v>
      </c>
      <c r="U246" s="5">
        <v>2678976.0</v>
      </c>
      <c r="V246" s="5">
        <v>279253.0</v>
      </c>
      <c r="W246" s="5">
        <v>284764.0</v>
      </c>
      <c r="X246" s="5">
        <v>280041.0</v>
      </c>
      <c r="Y246" s="5">
        <v>253840.0</v>
      </c>
      <c r="Z246" s="5">
        <v>240275.0</v>
      </c>
      <c r="AA246" s="5">
        <v>227730.0</v>
      </c>
      <c r="AB246" s="5">
        <v>212934.0</v>
      </c>
      <c r="AC246" s="5">
        <v>180454.0</v>
      </c>
      <c r="AD246" s="5">
        <v>162561.0</v>
      </c>
      <c r="AE246" s="5">
        <v>138829.0</v>
      </c>
      <c r="AF246" s="5">
        <v>118512.0</v>
      </c>
      <c r="AG246" s="5">
        <v>97794.0</v>
      </c>
      <c r="AH246" s="5">
        <v>80580.0</v>
      </c>
      <c r="AI246" s="5">
        <v>55408.0</v>
      </c>
      <c r="AJ246" s="5">
        <v>33105.0</v>
      </c>
      <c r="AK246" s="5">
        <v>17678.0</v>
      </c>
      <c r="AL246" s="5">
        <v>15218.0</v>
      </c>
      <c r="AM246" s="5">
        <v>2544826.0</v>
      </c>
      <c r="AN246" s="5">
        <v>262713.0</v>
      </c>
      <c r="AO246" s="5">
        <v>266597.0</v>
      </c>
      <c r="AP246" s="5">
        <v>263917.0</v>
      </c>
      <c r="AQ246" s="5">
        <v>243937.0</v>
      </c>
      <c r="AR246" s="5">
        <v>232645.0</v>
      </c>
      <c r="AS246" s="5">
        <v>214690.0</v>
      </c>
      <c r="AT246" s="5">
        <v>192722.0</v>
      </c>
      <c r="AU246" s="5">
        <v>161903.0</v>
      </c>
      <c r="AV246" s="5">
        <v>145553.0</v>
      </c>
      <c r="AW246" s="5">
        <v>127260.0</v>
      </c>
      <c r="AX246" s="5">
        <v>112917.0</v>
      </c>
      <c r="AY246" s="5">
        <v>95139.0</v>
      </c>
      <c r="AZ246" s="5">
        <v>81584.0</v>
      </c>
      <c r="BA246" s="5">
        <v>59097.0</v>
      </c>
      <c r="BB246" s="5">
        <v>37642.0</v>
      </c>
      <c r="BC246" s="5">
        <v>22587.0</v>
      </c>
      <c r="BD246" s="5">
        <v>23923.0</v>
      </c>
      <c r="BE246" s="4"/>
      <c r="BF246" s="4"/>
      <c r="BG246" s="4"/>
      <c r="BH246" s="4"/>
      <c r="BI246" s="4"/>
      <c r="BJ246" s="4"/>
    </row>
    <row r="247">
      <c r="A247" s="5"/>
      <c r="B247" s="5" t="s">
        <v>203</v>
      </c>
      <c r="C247" s="5">
        <v>766299.0</v>
      </c>
      <c r="D247" s="5">
        <v>78742.0</v>
      </c>
      <c r="E247" s="5">
        <v>84120.0</v>
      </c>
      <c r="F247" s="5">
        <v>83387.0</v>
      </c>
      <c r="G247" s="5">
        <v>78995.0</v>
      </c>
      <c r="H247" s="5">
        <v>65437.0</v>
      </c>
      <c r="I247" s="5">
        <v>62856.0</v>
      </c>
      <c r="J247" s="5">
        <v>57963.0</v>
      </c>
      <c r="K247" s="5">
        <v>47953.0</v>
      </c>
      <c r="L247" s="5">
        <v>42570.0</v>
      </c>
      <c r="M247" s="5">
        <v>38446.0</v>
      </c>
      <c r="N247" s="5">
        <v>35369.0</v>
      </c>
      <c r="O247" s="5">
        <v>28834.0</v>
      </c>
      <c r="P247" s="5">
        <v>23467.0</v>
      </c>
      <c r="Q247" s="5">
        <v>16025.0</v>
      </c>
      <c r="R247" s="5">
        <v>9962.0</v>
      </c>
      <c r="S247" s="5">
        <v>6154.0</v>
      </c>
      <c r="T247" s="5">
        <v>6019.0</v>
      </c>
      <c r="U247" s="5">
        <v>400687.0</v>
      </c>
      <c r="V247" s="5">
        <v>40754.0</v>
      </c>
      <c r="W247" s="5">
        <v>43504.0</v>
      </c>
      <c r="X247" s="5">
        <v>43374.0</v>
      </c>
      <c r="Y247" s="5">
        <v>40818.0</v>
      </c>
      <c r="Z247" s="5">
        <v>33833.0</v>
      </c>
      <c r="AA247" s="5">
        <v>33023.0</v>
      </c>
      <c r="AB247" s="5">
        <v>31301.0</v>
      </c>
      <c r="AC247" s="5">
        <v>25967.0</v>
      </c>
      <c r="AD247" s="5">
        <v>23222.0</v>
      </c>
      <c r="AE247" s="5">
        <v>20503.0</v>
      </c>
      <c r="AF247" s="5">
        <v>18874.0</v>
      </c>
      <c r="AG247" s="5">
        <v>15142.0</v>
      </c>
      <c r="AH247" s="5">
        <v>12251.0</v>
      </c>
      <c r="AI247" s="5">
        <v>8015.0</v>
      </c>
      <c r="AJ247" s="5">
        <v>4833.0</v>
      </c>
      <c r="AK247" s="5">
        <v>2823.0</v>
      </c>
      <c r="AL247" s="5">
        <v>2450.0</v>
      </c>
      <c r="AM247" s="5">
        <v>365612.0</v>
      </c>
      <c r="AN247" s="5">
        <v>37988.0</v>
      </c>
      <c r="AO247" s="5">
        <v>40616.0</v>
      </c>
      <c r="AP247" s="5">
        <v>40013.0</v>
      </c>
      <c r="AQ247" s="5">
        <v>38177.0</v>
      </c>
      <c r="AR247" s="5">
        <v>31604.0</v>
      </c>
      <c r="AS247" s="5">
        <v>29833.0</v>
      </c>
      <c r="AT247" s="5">
        <v>26662.0</v>
      </c>
      <c r="AU247" s="5">
        <v>21986.0</v>
      </c>
      <c r="AV247" s="5">
        <v>19348.0</v>
      </c>
      <c r="AW247" s="5">
        <v>17943.0</v>
      </c>
      <c r="AX247" s="5">
        <v>16495.0</v>
      </c>
      <c r="AY247" s="5">
        <v>13692.0</v>
      </c>
      <c r="AZ247" s="5">
        <v>11216.0</v>
      </c>
      <c r="BA247" s="5">
        <v>8010.0</v>
      </c>
      <c r="BB247" s="5">
        <v>5129.0</v>
      </c>
      <c r="BC247" s="5">
        <v>3331.0</v>
      </c>
      <c r="BD247" s="5">
        <v>3569.0</v>
      </c>
      <c r="BE247" s="4"/>
      <c r="BF247" s="4"/>
      <c r="BG247" s="4"/>
      <c r="BH247" s="4"/>
      <c r="BI247" s="4"/>
      <c r="BJ247" s="4"/>
    </row>
    <row r="248">
      <c r="A248" s="5"/>
      <c r="B248" s="5" t="s">
        <v>204</v>
      </c>
      <c r="C248" s="5">
        <v>1115167.0</v>
      </c>
      <c r="D248" s="5">
        <v>117968.0</v>
      </c>
      <c r="E248" s="5">
        <v>118048.0</v>
      </c>
      <c r="F248" s="5">
        <v>114201.0</v>
      </c>
      <c r="G248" s="5">
        <v>104177.0</v>
      </c>
      <c r="H248" s="5">
        <v>97519.0</v>
      </c>
      <c r="I248" s="5">
        <v>93939.0</v>
      </c>
      <c r="J248" s="5">
        <v>88312.0</v>
      </c>
      <c r="K248" s="5">
        <v>75300.0</v>
      </c>
      <c r="L248" s="5">
        <v>67172.0</v>
      </c>
      <c r="M248" s="5">
        <v>56298.0</v>
      </c>
      <c r="N248" s="5">
        <v>49108.0</v>
      </c>
      <c r="O248" s="5">
        <v>41364.0</v>
      </c>
      <c r="P248" s="5">
        <v>35177.0</v>
      </c>
      <c r="Q248" s="5">
        <v>24914.0</v>
      </c>
      <c r="R248" s="5">
        <v>14988.0</v>
      </c>
      <c r="S248" s="5">
        <v>8636.0</v>
      </c>
      <c r="T248" s="5">
        <v>8046.0</v>
      </c>
      <c r="U248" s="5">
        <v>570660.0</v>
      </c>
      <c r="V248" s="5">
        <v>60695.0</v>
      </c>
      <c r="W248" s="5">
        <v>60662.0</v>
      </c>
      <c r="X248" s="5">
        <v>58807.0</v>
      </c>
      <c r="Y248" s="5">
        <v>53249.0</v>
      </c>
      <c r="Z248" s="5">
        <v>49296.0</v>
      </c>
      <c r="AA248" s="5">
        <v>48041.0</v>
      </c>
      <c r="AB248" s="5">
        <v>45787.0</v>
      </c>
      <c r="AC248" s="5">
        <v>39388.0</v>
      </c>
      <c r="AD248" s="5">
        <v>35196.0</v>
      </c>
      <c r="AE248" s="5">
        <v>29133.0</v>
      </c>
      <c r="AF248" s="5">
        <v>25117.0</v>
      </c>
      <c r="AG248" s="5">
        <v>20992.0</v>
      </c>
      <c r="AH248" s="5">
        <v>17533.0</v>
      </c>
      <c r="AI248" s="5">
        <v>12349.0</v>
      </c>
      <c r="AJ248" s="5">
        <v>7276.0</v>
      </c>
      <c r="AK248" s="5">
        <v>3900.0</v>
      </c>
      <c r="AL248" s="5">
        <v>3239.0</v>
      </c>
      <c r="AM248" s="5">
        <v>544507.0</v>
      </c>
      <c r="AN248" s="5">
        <v>57273.0</v>
      </c>
      <c r="AO248" s="5">
        <v>57386.0</v>
      </c>
      <c r="AP248" s="5">
        <v>55394.0</v>
      </c>
      <c r="AQ248" s="5">
        <v>50928.0</v>
      </c>
      <c r="AR248" s="5">
        <v>48223.0</v>
      </c>
      <c r="AS248" s="5">
        <v>45898.0</v>
      </c>
      <c r="AT248" s="5">
        <v>42525.0</v>
      </c>
      <c r="AU248" s="5">
        <v>35912.0</v>
      </c>
      <c r="AV248" s="5">
        <v>31976.0</v>
      </c>
      <c r="AW248" s="5">
        <v>27165.0</v>
      </c>
      <c r="AX248" s="5">
        <v>23991.0</v>
      </c>
      <c r="AY248" s="5">
        <v>20372.0</v>
      </c>
      <c r="AZ248" s="5">
        <v>17644.0</v>
      </c>
      <c r="BA248" s="5">
        <v>12565.0</v>
      </c>
      <c r="BB248" s="5">
        <v>7712.0</v>
      </c>
      <c r="BC248" s="5">
        <v>4736.0</v>
      </c>
      <c r="BD248" s="5">
        <v>4807.0</v>
      </c>
      <c r="BE248" s="4"/>
      <c r="BF248" s="4"/>
      <c r="BG248" s="4"/>
      <c r="BH248" s="4"/>
      <c r="BI248" s="4"/>
      <c r="BJ248" s="4"/>
    </row>
    <row r="249">
      <c r="A249" s="5"/>
      <c r="B249" s="5" t="s">
        <v>205</v>
      </c>
      <c r="C249" s="5">
        <v>679457.0</v>
      </c>
      <c r="D249" s="5">
        <v>70489.0</v>
      </c>
      <c r="E249" s="5">
        <v>69219.0</v>
      </c>
      <c r="F249" s="5">
        <v>70279.0</v>
      </c>
      <c r="G249" s="5">
        <v>62235.0</v>
      </c>
      <c r="H249" s="5">
        <v>59195.0</v>
      </c>
      <c r="I249" s="5">
        <v>55537.0</v>
      </c>
      <c r="J249" s="5">
        <v>52399.0</v>
      </c>
      <c r="K249" s="5">
        <v>44248.0</v>
      </c>
      <c r="L249" s="5">
        <v>40310.0</v>
      </c>
      <c r="M249" s="5">
        <v>35193.0</v>
      </c>
      <c r="N249" s="5">
        <v>31235.0</v>
      </c>
      <c r="O249" s="5">
        <v>27087.0</v>
      </c>
      <c r="P249" s="5">
        <v>23463.0</v>
      </c>
      <c r="Q249" s="5">
        <v>16638.0</v>
      </c>
      <c r="R249" s="5">
        <v>10398.0</v>
      </c>
      <c r="S249" s="5">
        <v>5729.0</v>
      </c>
      <c r="T249" s="5">
        <v>5803.0</v>
      </c>
      <c r="U249" s="5">
        <v>348739.0</v>
      </c>
      <c r="V249" s="5">
        <v>36320.0</v>
      </c>
      <c r="W249" s="5">
        <v>36051.0</v>
      </c>
      <c r="X249" s="5">
        <v>36156.0</v>
      </c>
      <c r="Y249" s="5">
        <v>31833.0</v>
      </c>
      <c r="Z249" s="5">
        <v>30305.0</v>
      </c>
      <c r="AA249" s="5">
        <v>28615.0</v>
      </c>
      <c r="AB249" s="5">
        <v>27619.0</v>
      </c>
      <c r="AC249" s="5">
        <v>23275.0</v>
      </c>
      <c r="AD249" s="5">
        <v>21380.0</v>
      </c>
      <c r="AE249" s="5">
        <v>18496.0</v>
      </c>
      <c r="AF249" s="5">
        <v>15818.0</v>
      </c>
      <c r="AG249" s="5">
        <v>13635.0</v>
      </c>
      <c r="AH249" s="5">
        <v>11694.0</v>
      </c>
      <c r="AI249" s="5">
        <v>7938.0</v>
      </c>
      <c r="AJ249" s="5">
        <v>4830.0</v>
      </c>
      <c r="AK249" s="5">
        <v>2532.0</v>
      </c>
      <c r="AL249" s="5">
        <v>2242.0</v>
      </c>
      <c r="AM249" s="5">
        <v>330718.0</v>
      </c>
      <c r="AN249" s="5">
        <v>34169.0</v>
      </c>
      <c r="AO249" s="5">
        <v>33168.0</v>
      </c>
      <c r="AP249" s="5">
        <v>34123.0</v>
      </c>
      <c r="AQ249" s="5">
        <v>30402.0</v>
      </c>
      <c r="AR249" s="5">
        <v>28890.0</v>
      </c>
      <c r="AS249" s="5">
        <v>26922.0</v>
      </c>
      <c r="AT249" s="5">
        <v>24780.0</v>
      </c>
      <c r="AU249" s="5">
        <v>20973.0</v>
      </c>
      <c r="AV249" s="5">
        <v>18930.0</v>
      </c>
      <c r="AW249" s="5">
        <v>16697.0</v>
      </c>
      <c r="AX249" s="5">
        <v>15417.0</v>
      </c>
      <c r="AY249" s="5">
        <v>13452.0</v>
      </c>
      <c r="AZ249" s="5">
        <v>11769.0</v>
      </c>
      <c r="BA249" s="5">
        <v>8700.0</v>
      </c>
      <c r="BB249" s="5">
        <v>5568.0</v>
      </c>
      <c r="BC249" s="5">
        <v>3197.0</v>
      </c>
      <c r="BD249" s="5">
        <v>3561.0</v>
      </c>
      <c r="BE249" s="4"/>
      <c r="BF249" s="4"/>
      <c r="BG249" s="4"/>
      <c r="BH249" s="4"/>
      <c r="BI249" s="4"/>
      <c r="BJ249" s="4"/>
    </row>
    <row r="250">
      <c r="A250" s="5"/>
      <c r="B250" s="5" t="s">
        <v>206</v>
      </c>
      <c r="C250" s="5">
        <v>316907.0</v>
      </c>
      <c r="D250" s="5">
        <v>38121.0</v>
      </c>
      <c r="E250" s="5">
        <v>39373.0</v>
      </c>
      <c r="F250" s="5">
        <v>38761.0</v>
      </c>
      <c r="G250" s="5">
        <v>31969.0</v>
      </c>
      <c r="H250" s="5">
        <v>26767.0</v>
      </c>
      <c r="I250" s="5">
        <v>23679.0</v>
      </c>
      <c r="J250" s="5">
        <v>21848.0</v>
      </c>
      <c r="K250" s="5">
        <v>18499.0</v>
      </c>
      <c r="L250" s="5">
        <v>16860.0</v>
      </c>
      <c r="M250" s="5">
        <v>15533.0</v>
      </c>
      <c r="N250" s="5">
        <v>12662.0</v>
      </c>
      <c r="O250" s="5">
        <v>10323.0</v>
      </c>
      <c r="P250" s="5">
        <v>8706.0</v>
      </c>
      <c r="Q250" s="5">
        <v>5876.0</v>
      </c>
      <c r="R250" s="5">
        <v>3542.0</v>
      </c>
      <c r="S250" s="5">
        <v>1955.0</v>
      </c>
      <c r="T250" s="5">
        <v>2433.0</v>
      </c>
      <c r="U250" s="5">
        <v>164321.0</v>
      </c>
      <c r="V250" s="5">
        <v>19613.0</v>
      </c>
      <c r="W250" s="5">
        <v>20129.0</v>
      </c>
      <c r="X250" s="5">
        <v>19744.0</v>
      </c>
      <c r="Y250" s="5">
        <v>16340.0</v>
      </c>
      <c r="Z250" s="5">
        <v>13886.0</v>
      </c>
      <c r="AA250" s="5">
        <v>12381.0</v>
      </c>
      <c r="AB250" s="5">
        <v>11794.0</v>
      </c>
      <c r="AC250" s="5">
        <v>10043.0</v>
      </c>
      <c r="AD250" s="5">
        <v>9000.0</v>
      </c>
      <c r="AE250" s="5">
        <v>8284.0</v>
      </c>
      <c r="AF250" s="5">
        <v>6574.0</v>
      </c>
      <c r="AG250" s="5">
        <v>5590.0</v>
      </c>
      <c r="AH250" s="5">
        <v>4400.0</v>
      </c>
      <c r="AI250" s="5">
        <v>2934.0</v>
      </c>
      <c r="AJ250" s="5">
        <v>1706.0</v>
      </c>
      <c r="AK250" s="5">
        <v>899.0</v>
      </c>
      <c r="AL250" s="5">
        <v>1004.0</v>
      </c>
      <c r="AM250" s="5">
        <v>152586.0</v>
      </c>
      <c r="AN250" s="5">
        <v>18508.0</v>
      </c>
      <c r="AO250" s="5">
        <v>19244.0</v>
      </c>
      <c r="AP250" s="5">
        <v>19017.0</v>
      </c>
      <c r="AQ250" s="5">
        <v>15629.0</v>
      </c>
      <c r="AR250" s="5">
        <v>12881.0</v>
      </c>
      <c r="AS250" s="5">
        <v>11298.0</v>
      </c>
      <c r="AT250" s="5">
        <v>10054.0</v>
      </c>
      <c r="AU250" s="5">
        <v>8456.0</v>
      </c>
      <c r="AV250" s="5">
        <v>7860.0</v>
      </c>
      <c r="AW250" s="5">
        <v>7249.0</v>
      </c>
      <c r="AX250" s="5">
        <v>6088.0</v>
      </c>
      <c r="AY250" s="5">
        <v>4733.0</v>
      </c>
      <c r="AZ250" s="5">
        <v>4306.0</v>
      </c>
      <c r="BA250" s="5">
        <v>2942.0</v>
      </c>
      <c r="BB250" s="5">
        <v>1836.0</v>
      </c>
      <c r="BC250" s="5">
        <v>1056.0</v>
      </c>
      <c r="BD250" s="5">
        <v>1429.0</v>
      </c>
      <c r="BE250" s="4"/>
      <c r="BF250" s="4"/>
      <c r="BG250" s="4"/>
      <c r="BH250" s="4"/>
      <c r="BI250" s="4"/>
      <c r="BJ250" s="4"/>
    </row>
    <row r="251">
      <c r="A251" s="5"/>
      <c r="B251" s="5" t="s">
        <v>207</v>
      </c>
      <c r="C251" s="5">
        <v>574984.0</v>
      </c>
      <c r="D251" s="5">
        <v>59339.0</v>
      </c>
      <c r="E251" s="5">
        <v>64443.0</v>
      </c>
      <c r="F251" s="5">
        <v>64640.0</v>
      </c>
      <c r="G251" s="5">
        <v>58727.0</v>
      </c>
      <c r="H251" s="5">
        <v>50134.0</v>
      </c>
      <c r="I251" s="5">
        <v>43254.0</v>
      </c>
      <c r="J251" s="5">
        <v>39477.0</v>
      </c>
      <c r="K251" s="5">
        <v>33234.0</v>
      </c>
      <c r="L251" s="5">
        <v>31758.0</v>
      </c>
      <c r="M251" s="5">
        <v>29504.0</v>
      </c>
      <c r="N251" s="5">
        <v>26855.0</v>
      </c>
      <c r="O251" s="5">
        <v>22762.0</v>
      </c>
      <c r="P251" s="5">
        <v>18565.0</v>
      </c>
      <c r="Q251" s="5">
        <v>13140.0</v>
      </c>
      <c r="R251" s="5">
        <v>8676.0</v>
      </c>
      <c r="S251" s="5">
        <v>5220.0</v>
      </c>
      <c r="T251" s="5">
        <v>5256.0</v>
      </c>
      <c r="U251" s="5">
        <v>297105.0</v>
      </c>
      <c r="V251" s="5">
        <v>30648.0</v>
      </c>
      <c r="W251" s="5">
        <v>33104.0</v>
      </c>
      <c r="X251" s="5">
        <v>33179.0</v>
      </c>
      <c r="Y251" s="5">
        <v>29871.0</v>
      </c>
      <c r="Z251" s="5">
        <v>25876.0</v>
      </c>
      <c r="AA251" s="5">
        <v>22716.0</v>
      </c>
      <c r="AB251" s="5">
        <v>20930.0</v>
      </c>
      <c r="AC251" s="5">
        <v>18019.0</v>
      </c>
      <c r="AD251" s="5">
        <v>17127.0</v>
      </c>
      <c r="AE251" s="5">
        <v>15600.0</v>
      </c>
      <c r="AF251" s="5">
        <v>13966.0</v>
      </c>
      <c r="AG251" s="5">
        <v>11746.0</v>
      </c>
      <c r="AH251" s="5">
        <v>9401.0</v>
      </c>
      <c r="AI251" s="5">
        <v>6378.0</v>
      </c>
      <c r="AJ251" s="5">
        <v>4135.0</v>
      </c>
      <c r="AK251" s="5">
        <v>2334.0</v>
      </c>
      <c r="AL251" s="5">
        <v>2075.0</v>
      </c>
      <c r="AM251" s="5">
        <v>277879.0</v>
      </c>
      <c r="AN251" s="5">
        <v>28691.0</v>
      </c>
      <c r="AO251" s="5">
        <v>31339.0</v>
      </c>
      <c r="AP251" s="5">
        <v>31461.0</v>
      </c>
      <c r="AQ251" s="5">
        <v>28856.0</v>
      </c>
      <c r="AR251" s="5">
        <v>24258.0</v>
      </c>
      <c r="AS251" s="5">
        <v>20538.0</v>
      </c>
      <c r="AT251" s="5">
        <v>18547.0</v>
      </c>
      <c r="AU251" s="5">
        <v>15215.0</v>
      </c>
      <c r="AV251" s="5">
        <v>14631.0</v>
      </c>
      <c r="AW251" s="5">
        <v>13904.0</v>
      </c>
      <c r="AX251" s="5">
        <v>12889.0</v>
      </c>
      <c r="AY251" s="5">
        <v>11016.0</v>
      </c>
      <c r="AZ251" s="5">
        <v>9164.0</v>
      </c>
      <c r="BA251" s="5">
        <v>6762.0</v>
      </c>
      <c r="BB251" s="5">
        <v>4541.0</v>
      </c>
      <c r="BC251" s="5">
        <v>2886.0</v>
      </c>
      <c r="BD251" s="5">
        <v>3181.0</v>
      </c>
      <c r="BE251" s="4"/>
      <c r="BF251" s="4"/>
      <c r="BG251" s="4"/>
      <c r="BH251" s="4"/>
      <c r="BI251" s="4"/>
      <c r="BJ251" s="4"/>
    </row>
    <row r="252">
      <c r="A252" s="5"/>
      <c r="B252" s="5" t="s">
        <v>208</v>
      </c>
      <c r="C252" s="5">
        <v>1770988.0</v>
      </c>
      <c r="D252" s="5">
        <v>177307.0</v>
      </c>
      <c r="E252" s="5">
        <v>176158.0</v>
      </c>
      <c r="F252" s="5">
        <v>172690.0</v>
      </c>
      <c r="G252" s="5">
        <v>161674.0</v>
      </c>
      <c r="H252" s="5">
        <v>173868.0</v>
      </c>
      <c r="I252" s="5">
        <v>163155.0</v>
      </c>
      <c r="J252" s="5">
        <v>145657.0</v>
      </c>
      <c r="K252" s="5">
        <v>123123.0</v>
      </c>
      <c r="L252" s="5">
        <v>109444.0</v>
      </c>
      <c r="M252" s="5">
        <v>91115.0</v>
      </c>
      <c r="N252" s="5">
        <v>76200.0</v>
      </c>
      <c r="O252" s="5">
        <v>62563.0</v>
      </c>
      <c r="P252" s="5">
        <v>52786.0</v>
      </c>
      <c r="Q252" s="5">
        <v>37912.0</v>
      </c>
      <c r="R252" s="5">
        <v>23181.0</v>
      </c>
      <c r="S252" s="5">
        <v>12571.0</v>
      </c>
      <c r="T252" s="5">
        <v>11584.0</v>
      </c>
      <c r="U252" s="5">
        <v>897464.0</v>
      </c>
      <c r="V252" s="5">
        <v>91223.0</v>
      </c>
      <c r="W252" s="5">
        <v>91314.0</v>
      </c>
      <c r="X252" s="5">
        <v>88781.0</v>
      </c>
      <c r="Y252" s="5">
        <v>81729.0</v>
      </c>
      <c r="Z252" s="5">
        <v>87079.0</v>
      </c>
      <c r="AA252" s="5">
        <v>82954.0</v>
      </c>
      <c r="AB252" s="5">
        <v>75503.0</v>
      </c>
      <c r="AC252" s="5">
        <v>63762.0</v>
      </c>
      <c r="AD252" s="5">
        <v>56636.0</v>
      </c>
      <c r="AE252" s="5">
        <v>46813.0</v>
      </c>
      <c r="AF252" s="5">
        <v>38163.0</v>
      </c>
      <c r="AG252" s="5">
        <v>30689.0</v>
      </c>
      <c r="AH252" s="5">
        <v>25301.0</v>
      </c>
      <c r="AI252" s="5">
        <v>17794.0</v>
      </c>
      <c r="AJ252" s="5">
        <v>10325.0</v>
      </c>
      <c r="AK252" s="5">
        <v>5190.0</v>
      </c>
      <c r="AL252" s="5">
        <v>4208.0</v>
      </c>
      <c r="AM252" s="5">
        <v>873524.0</v>
      </c>
      <c r="AN252" s="5">
        <v>86084.0</v>
      </c>
      <c r="AO252" s="5">
        <v>84844.0</v>
      </c>
      <c r="AP252" s="5">
        <v>83909.0</v>
      </c>
      <c r="AQ252" s="5">
        <v>79945.0</v>
      </c>
      <c r="AR252" s="5">
        <v>86789.0</v>
      </c>
      <c r="AS252" s="5">
        <v>80201.0</v>
      </c>
      <c r="AT252" s="5">
        <v>70154.0</v>
      </c>
      <c r="AU252" s="5">
        <v>59361.0</v>
      </c>
      <c r="AV252" s="5">
        <v>52808.0</v>
      </c>
      <c r="AW252" s="5">
        <v>44302.0</v>
      </c>
      <c r="AX252" s="5">
        <v>38037.0</v>
      </c>
      <c r="AY252" s="5">
        <v>31874.0</v>
      </c>
      <c r="AZ252" s="5">
        <v>27485.0</v>
      </c>
      <c r="BA252" s="5">
        <v>20118.0</v>
      </c>
      <c r="BB252" s="5">
        <v>12856.0</v>
      </c>
      <c r="BC252" s="5">
        <v>7381.0</v>
      </c>
      <c r="BD252" s="5">
        <v>7376.0</v>
      </c>
      <c r="BE252" s="4"/>
      <c r="BF252" s="4"/>
      <c r="BG252" s="4"/>
      <c r="BH252" s="4"/>
      <c r="BI252" s="4"/>
      <c r="BJ252" s="4"/>
    </row>
    <row r="253">
      <c r="A253" s="5"/>
      <c r="B253" s="5" t="s">
        <v>209</v>
      </c>
      <c r="C253" s="5">
        <v>4351773.0</v>
      </c>
      <c r="D253" s="5">
        <v>470229.0</v>
      </c>
      <c r="E253" s="5">
        <v>491209.0</v>
      </c>
      <c r="F253" s="5">
        <v>477818.0</v>
      </c>
      <c r="G253" s="5">
        <v>441426.0</v>
      </c>
      <c r="H253" s="5">
        <v>401821.0</v>
      </c>
      <c r="I253" s="5">
        <v>365138.0</v>
      </c>
      <c r="J253" s="5">
        <v>324069.0</v>
      </c>
      <c r="K253" s="5">
        <v>276166.0</v>
      </c>
      <c r="L253" s="5">
        <v>249897.0</v>
      </c>
      <c r="M253" s="5">
        <v>215929.0</v>
      </c>
      <c r="N253" s="5">
        <v>184358.0</v>
      </c>
      <c r="O253" s="5">
        <v>146025.0</v>
      </c>
      <c r="P253" s="5">
        <v>115625.0</v>
      </c>
      <c r="Q253" s="5">
        <v>81282.0</v>
      </c>
      <c r="R253" s="5">
        <v>50680.0</v>
      </c>
      <c r="S253" s="5">
        <v>30309.0</v>
      </c>
      <c r="T253" s="5">
        <v>29792.0</v>
      </c>
      <c r="U253" s="5">
        <v>2225425.0</v>
      </c>
      <c r="V253" s="5">
        <v>242299.0</v>
      </c>
      <c r="W253" s="5">
        <v>254016.0</v>
      </c>
      <c r="X253" s="5">
        <v>245381.0</v>
      </c>
      <c r="Y253" s="5">
        <v>224092.0</v>
      </c>
      <c r="Z253" s="5">
        <v>204828.0</v>
      </c>
      <c r="AA253" s="5">
        <v>187353.0</v>
      </c>
      <c r="AB253" s="5">
        <v>169260.0</v>
      </c>
      <c r="AC253" s="5">
        <v>143992.0</v>
      </c>
      <c r="AD253" s="5">
        <v>130658.0</v>
      </c>
      <c r="AE253" s="5">
        <v>112376.0</v>
      </c>
      <c r="AF253" s="5">
        <v>95022.0</v>
      </c>
      <c r="AG253" s="5">
        <v>74301.0</v>
      </c>
      <c r="AH253" s="5">
        <v>57061.0</v>
      </c>
      <c r="AI253" s="5">
        <v>38858.0</v>
      </c>
      <c r="AJ253" s="5">
        <v>22719.0</v>
      </c>
      <c r="AK253" s="5">
        <v>12425.0</v>
      </c>
      <c r="AL253" s="5">
        <v>10784.0</v>
      </c>
      <c r="AM253" s="5">
        <v>2126348.0</v>
      </c>
      <c r="AN253" s="5">
        <v>227930.0</v>
      </c>
      <c r="AO253" s="5">
        <v>237193.0</v>
      </c>
      <c r="AP253" s="5">
        <v>232437.0</v>
      </c>
      <c r="AQ253" s="5">
        <v>217334.0</v>
      </c>
      <c r="AR253" s="5">
        <v>196993.0</v>
      </c>
      <c r="AS253" s="5">
        <v>177785.0</v>
      </c>
      <c r="AT253" s="5">
        <v>154809.0</v>
      </c>
      <c r="AU253" s="5">
        <v>132174.0</v>
      </c>
      <c r="AV253" s="5">
        <v>119239.0</v>
      </c>
      <c r="AW253" s="5">
        <v>103553.0</v>
      </c>
      <c r="AX253" s="5">
        <v>89336.0</v>
      </c>
      <c r="AY253" s="5">
        <v>71724.0</v>
      </c>
      <c r="AZ253" s="5">
        <v>58564.0</v>
      </c>
      <c r="BA253" s="5">
        <v>42424.0</v>
      </c>
      <c r="BB253" s="5">
        <v>27961.0</v>
      </c>
      <c r="BC253" s="5">
        <v>17884.0</v>
      </c>
      <c r="BD253" s="5">
        <v>19008.0</v>
      </c>
      <c r="BE253" s="4"/>
      <c r="BF253" s="4"/>
      <c r="BG253" s="4"/>
      <c r="BH253" s="4"/>
      <c r="BI253" s="4"/>
      <c r="BJ253" s="4"/>
    </row>
    <row r="254">
      <c r="A254" s="5"/>
      <c r="B254" s="5" t="s">
        <v>210</v>
      </c>
      <c r="C254" s="5">
        <v>1273594.0</v>
      </c>
      <c r="D254" s="5">
        <v>133770.0</v>
      </c>
      <c r="E254" s="5">
        <v>145175.0</v>
      </c>
      <c r="F254" s="5">
        <v>141983.0</v>
      </c>
      <c r="G254" s="5">
        <v>129362.0</v>
      </c>
      <c r="H254" s="5">
        <v>111947.0</v>
      </c>
      <c r="I254" s="5">
        <v>103607.0</v>
      </c>
      <c r="J254" s="5">
        <v>93164.0</v>
      </c>
      <c r="K254" s="5">
        <v>80130.0</v>
      </c>
      <c r="L254" s="5">
        <v>72339.0</v>
      </c>
      <c r="M254" s="5">
        <v>63413.0</v>
      </c>
      <c r="N254" s="5">
        <v>55740.0</v>
      </c>
      <c r="O254" s="5">
        <v>44849.0</v>
      </c>
      <c r="P254" s="5">
        <v>36238.0</v>
      </c>
      <c r="Q254" s="5">
        <v>25874.0</v>
      </c>
      <c r="R254" s="5">
        <v>16176.0</v>
      </c>
      <c r="S254" s="5">
        <v>9899.0</v>
      </c>
      <c r="T254" s="5">
        <v>9928.0</v>
      </c>
      <c r="U254" s="5">
        <v>652626.0</v>
      </c>
      <c r="V254" s="5">
        <v>69113.0</v>
      </c>
      <c r="W254" s="5">
        <v>75024.0</v>
      </c>
      <c r="X254" s="5">
        <v>73264.0</v>
      </c>
      <c r="Y254" s="5">
        <v>66001.0</v>
      </c>
      <c r="Z254" s="5">
        <v>57587.0</v>
      </c>
      <c r="AA254" s="5">
        <v>52997.0</v>
      </c>
      <c r="AB254" s="5">
        <v>48829.0</v>
      </c>
      <c r="AC254" s="5">
        <v>41702.0</v>
      </c>
      <c r="AD254" s="5">
        <v>37919.0</v>
      </c>
      <c r="AE254" s="5">
        <v>33067.0</v>
      </c>
      <c r="AF254" s="5">
        <v>28740.0</v>
      </c>
      <c r="AG254" s="5">
        <v>22791.0</v>
      </c>
      <c r="AH254" s="5">
        <v>17956.0</v>
      </c>
      <c r="AI254" s="5">
        <v>12433.0</v>
      </c>
      <c r="AJ254" s="5">
        <v>7324.0</v>
      </c>
      <c r="AK254" s="5">
        <v>4129.0</v>
      </c>
      <c r="AL254" s="5">
        <v>3750.0</v>
      </c>
      <c r="AM254" s="5">
        <v>620968.0</v>
      </c>
      <c r="AN254" s="5">
        <v>64657.0</v>
      </c>
      <c r="AO254" s="5">
        <v>70151.0</v>
      </c>
      <c r="AP254" s="5">
        <v>68719.0</v>
      </c>
      <c r="AQ254" s="5">
        <v>63361.0</v>
      </c>
      <c r="AR254" s="5">
        <v>54360.0</v>
      </c>
      <c r="AS254" s="5">
        <v>50610.0</v>
      </c>
      <c r="AT254" s="5">
        <v>44335.0</v>
      </c>
      <c r="AU254" s="5">
        <v>38428.0</v>
      </c>
      <c r="AV254" s="5">
        <v>34420.0</v>
      </c>
      <c r="AW254" s="5">
        <v>30346.0</v>
      </c>
      <c r="AX254" s="5">
        <v>27000.0</v>
      </c>
      <c r="AY254" s="5">
        <v>22058.0</v>
      </c>
      <c r="AZ254" s="5">
        <v>18282.0</v>
      </c>
      <c r="BA254" s="5">
        <v>13441.0</v>
      </c>
      <c r="BB254" s="5">
        <v>8852.0</v>
      </c>
      <c r="BC254" s="5">
        <v>5770.0</v>
      </c>
      <c r="BD254" s="5">
        <v>6178.0</v>
      </c>
      <c r="BE254" s="4"/>
      <c r="BF254" s="4"/>
      <c r="BG254" s="4"/>
      <c r="BH254" s="4"/>
      <c r="BI254" s="4"/>
      <c r="BJ254" s="4"/>
    </row>
    <row r="255">
      <c r="A255" s="5"/>
      <c r="B255" s="5" t="s">
        <v>211</v>
      </c>
      <c r="C255" s="5">
        <v>558069.0</v>
      </c>
      <c r="D255" s="5">
        <v>64989.0</v>
      </c>
      <c r="E255" s="5">
        <v>66801.0</v>
      </c>
      <c r="F255" s="5">
        <v>64498.0</v>
      </c>
      <c r="G255" s="5">
        <v>59084.0</v>
      </c>
      <c r="H255" s="5">
        <v>51538.0</v>
      </c>
      <c r="I255" s="5">
        <v>46011.0</v>
      </c>
      <c r="J255" s="5">
        <v>39592.0</v>
      </c>
      <c r="K255" s="5">
        <v>33812.0</v>
      </c>
      <c r="L255" s="5">
        <v>30148.0</v>
      </c>
      <c r="M255" s="5">
        <v>26700.0</v>
      </c>
      <c r="N255" s="5">
        <v>21972.0</v>
      </c>
      <c r="O255" s="5">
        <v>17369.0</v>
      </c>
      <c r="P255" s="5">
        <v>13518.0</v>
      </c>
      <c r="Q255" s="5">
        <v>9355.0</v>
      </c>
      <c r="R255" s="5">
        <v>5791.0</v>
      </c>
      <c r="S255" s="5">
        <v>3524.0</v>
      </c>
      <c r="T255" s="5">
        <v>3367.0</v>
      </c>
      <c r="U255" s="5">
        <v>288722.0</v>
      </c>
      <c r="V255" s="5">
        <v>33381.0</v>
      </c>
      <c r="W255" s="5">
        <v>34417.0</v>
      </c>
      <c r="X255" s="5">
        <v>32953.0</v>
      </c>
      <c r="Y255" s="5">
        <v>30137.0</v>
      </c>
      <c r="Z255" s="5">
        <v>26647.0</v>
      </c>
      <c r="AA255" s="5">
        <v>23944.0</v>
      </c>
      <c r="AB255" s="5">
        <v>21147.0</v>
      </c>
      <c r="AC255" s="5">
        <v>18006.0</v>
      </c>
      <c r="AD255" s="5">
        <v>16083.0</v>
      </c>
      <c r="AE255" s="5">
        <v>13989.0</v>
      </c>
      <c r="AF255" s="5">
        <v>11612.0</v>
      </c>
      <c r="AG255" s="5">
        <v>9045.0</v>
      </c>
      <c r="AH255" s="5">
        <v>6921.0</v>
      </c>
      <c r="AI255" s="5">
        <v>4737.0</v>
      </c>
      <c r="AJ255" s="5">
        <v>2732.0</v>
      </c>
      <c r="AK255" s="5">
        <v>1597.0</v>
      </c>
      <c r="AL255" s="5">
        <v>1374.0</v>
      </c>
      <c r="AM255" s="5">
        <v>269347.0</v>
      </c>
      <c r="AN255" s="5">
        <v>31608.0</v>
      </c>
      <c r="AO255" s="5">
        <v>32384.0</v>
      </c>
      <c r="AP255" s="5">
        <v>31545.0</v>
      </c>
      <c r="AQ255" s="5">
        <v>28947.0</v>
      </c>
      <c r="AR255" s="5">
        <v>24891.0</v>
      </c>
      <c r="AS255" s="5">
        <v>22067.0</v>
      </c>
      <c r="AT255" s="5">
        <v>18445.0</v>
      </c>
      <c r="AU255" s="5">
        <v>15806.0</v>
      </c>
      <c r="AV255" s="5">
        <v>14065.0</v>
      </c>
      <c r="AW255" s="5">
        <v>12711.0</v>
      </c>
      <c r="AX255" s="5">
        <v>10360.0</v>
      </c>
      <c r="AY255" s="5">
        <v>8324.0</v>
      </c>
      <c r="AZ255" s="5">
        <v>6597.0</v>
      </c>
      <c r="BA255" s="5">
        <v>4618.0</v>
      </c>
      <c r="BB255" s="5">
        <v>3059.0</v>
      </c>
      <c r="BC255" s="5">
        <v>1927.0</v>
      </c>
      <c r="BD255" s="5">
        <v>1993.0</v>
      </c>
      <c r="BE255" s="4"/>
      <c r="BF255" s="4"/>
      <c r="BG255" s="4"/>
      <c r="BH255" s="4"/>
      <c r="BI255" s="4"/>
      <c r="BJ255" s="4"/>
    </row>
    <row r="256">
      <c r="A256" s="5"/>
      <c r="B256" s="5" t="s">
        <v>212</v>
      </c>
      <c r="C256" s="5">
        <v>973146.0</v>
      </c>
      <c r="D256" s="5">
        <v>104601.0</v>
      </c>
      <c r="E256" s="5">
        <v>106723.0</v>
      </c>
      <c r="F256" s="5">
        <v>104586.0</v>
      </c>
      <c r="G256" s="5">
        <v>96237.0</v>
      </c>
      <c r="H256" s="5">
        <v>87933.0</v>
      </c>
      <c r="I256" s="5">
        <v>81991.0</v>
      </c>
      <c r="J256" s="5">
        <v>73559.0</v>
      </c>
      <c r="K256" s="5">
        <v>62612.0</v>
      </c>
      <c r="L256" s="5">
        <v>58006.0</v>
      </c>
      <c r="M256" s="5">
        <v>48939.0</v>
      </c>
      <c r="N256" s="5">
        <v>41645.0</v>
      </c>
      <c r="O256" s="5">
        <v>33420.0</v>
      </c>
      <c r="P256" s="5">
        <v>26965.0</v>
      </c>
      <c r="Q256" s="5">
        <v>19268.0</v>
      </c>
      <c r="R256" s="5">
        <v>12041.0</v>
      </c>
      <c r="S256" s="5">
        <v>7449.0</v>
      </c>
      <c r="T256" s="5">
        <v>7171.0</v>
      </c>
      <c r="U256" s="5">
        <v>496628.0</v>
      </c>
      <c r="V256" s="5">
        <v>53778.0</v>
      </c>
      <c r="W256" s="5">
        <v>55363.0</v>
      </c>
      <c r="X256" s="5">
        <v>53748.0</v>
      </c>
      <c r="Y256" s="5">
        <v>49122.0</v>
      </c>
      <c r="Z256" s="5">
        <v>44608.0</v>
      </c>
      <c r="AA256" s="5">
        <v>42208.0</v>
      </c>
      <c r="AB256" s="5">
        <v>38515.0</v>
      </c>
      <c r="AC256" s="5">
        <v>32808.0</v>
      </c>
      <c r="AD256" s="5">
        <v>30310.0</v>
      </c>
      <c r="AE256" s="5">
        <v>25421.0</v>
      </c>
      <c r="AF256" s="5">
        <v>21395.0</v>
      </c>
      <c r="AG256" s="5">
        <v>16837.0</v>
      </c>
      <c r="AH256" s="5">
        <v>13074.0</v>
      </c>
      <c r="AI256" s="5">
        <v>8926.0</v>
      </c>
      <c r="AJ256" s="5">
        <v>5217.0</v>
      </c>
      <c r="AK256" s="5">
        <v>2888.0</v>
      </c>
      <c r="AL256" s="5">
        <v>2410.0</v>
      </c>
      <c r="AM256" s="5">
        <v>476518.0</v>
      </c>
      <c r="AN256" s="5">
        <v>50823.0</v>
      </c>
      <c r="AO256" s="5">
        <v>51360.0</v>
      </c>
      <c r="AP256" s="5">
        <v>50838.0</v>
      </c>
      <c r="AQ256" s="5">
        <v>47115.0</v>
      </c>
      <c r="AR256" s="5">
        <v>43325.0</v>
      </c>
      <c r="AS256" s="5">
        <v>39783.0</v>
      </c>
      <c r="AT256" s="5">
        <v>35044.0</v>
      </c>
      <c r="AU256" s="5">
        <v>29804.0</v>
      </c>
      <c r="AV256" s="5">
        <v>27696.0</v>
      </c>
      <c r="AW256" s="5">
        <v>23518.0</v>
      </c>
      <c r="AX256" s="5">
        <v>20250.0</v>
      </c>
      <c r="AY256" s="5">
        <v>16583.0</v>
      </c>
      <c r="AZ256" s="5">
        <v>13891.0</v>
      </c>
      <c r="BA256" s="5">
        <v>10342.0</v>
      </c>
      <c r="BB256" s="5">
        <v>6824.0</v>
      </c>
      <c r="BC256" s="5">
        <v>4561.0</v>
      </c>
      <c r="BD256" s="5">
        <v>4761.0</v>
      </c>
      <c r="BE256" s="4"/>
      <c r="BF256" s="4"/>
      <c r="BG256" s="4"/>
      <c r="BH256" s="4"/>
      <c r="BI256" s="4"/>
      <c r="BJ256" s="4"/>
    </row>
    <row r="257">
      <c r="A257" s="5"/>
      <c r="B257" s="5" t="s">
        <v>213</v>
      </c>
      <c r="C257" s="5">
        <v>851554.0</v>
      </c>
      <c r="D257" s="5">
        <v>94981.0</v>
      </c>
      <c r="E257" s="5">
        <v>98354.0</v>
      </c>
      <c r="F257" s="5">
        <v>95760.0</v>
      </c>
      <c r="G257" s="5">
        <v>91007.0</v>
      </c>
      <c r="H257" s="5">
        <v>81129.0</v>
      </c>
      <c r="I257" s="5">
        <v>70898.0</v>
      </c>
      <c r="J257" s="5">
        <v>62278.0</v>
      </c>
      <c r="K257" s="5">
        <v>52509.0</v>
      </c>
      <c r="L257" s="5">
        <v>46940.0</v>
      </c>
      <c r="M257" s="5">
        <v>40499.0</v>
      </c>
      <c r="N257" s="5">
        <v>34207.0</v>
      </c>
      <c r="O257" s="5">
        <v>26326.0</v>
      </c>
      <c r="P257" s="5">
        <v>20979.0</v>
      </c>
      <c r="Q257" s="5">
        <v>14809.0</v>
      </c>
      <c r="R257" s="5">
        <v>9593.0</v>
      </c>
      <c r="S257" s="5">
        <v>5537.0</v>
      </c>
      <c r="T257" s="5">
        <v>5748.0</v>
      </c>
      <c r="U257" s="5">
        <v>435228.0</v>
      </c>
      <c r="V257" s="5">
        <v>48827.0</v>
      </c>
      <c r="W257" s="5">
        <v>50672.0</v>
      </c>
      <c r="X257" s="5">
        <v>49022.0</v>
      </c>
      <c r="Y257" s="5">
        <v>45920.0</v>
      </c>
      <c r="Z257" s="5">
        <v>41113.0</v>
      </c>
      <c r="AA257" s="5">
        <v>36334.0</v>
      </c>
      <c r="AB257" s="5">
        <v>32155.0</v>
      </c>
      <c r="AC257" s="5">
        <v>27305.0</v>
      </c>
      <c r="AD257" s="5">
        <v>24693.0</v>
      </c>
      <c r="AE257" s="5">
        <v>21398.0</v>
      </c>
      <c r="AF257" s="5">
        <v>17930.0</v>
      </c>
      <c r="AG257" s="5">
        <v>13733.0</v>
      </c>
      <c r="AH257" s="5">
        <v>10416.0</v>
      </c>
      <c r="AI257" s="5">
        <v>7092.0</v>
      </c>
      <c r="AJ257" s="5">
        <v>4366.0</v>
      </c>
      <c r="AK257" s="5">
        <v>2236.0</v>
      </c>
      <c r="AL257" s="5">
        <v>2016.0</v>
      </c>
      <c r="AM257" s="5">
        <v>416326.0</v>
      </c>
      <c r="AN257" s="5">
        <v>46154.0</v>
      </c>
      <c r="AO257" s="5">
        <v>47682.0</v>
      </c>
      <c r="AP257" s="5">
        <v>46738.0</v>
      </c>
      <c r="AQ257" s="5">
        <v>45087.0</v>
      </c>
      <c r="AR257" s="5">
        <v>40016.0</v>
      </c>
      <c r="AS257" s="5">
        <v>34564.0</v>
      </c>
      <c r="AT257" s="5">
        <v>30123.0</v>
      </c>
      <c r="AU257" s="5">
        <v>25204.0</v>
      </c>
      <c r="AV257" s="5">
        <v>22247.0</v>
      </c>
      <c r="AW257" s="5">
        <v>19101.0</v>
      </c>
      <c r="AX257" s="5">
        <v>16277.0</v>
      </c>
      <c r="AY257" s="5">
        <v>12593.0</v>
      </c>
      <c r="AZ257" s="5">
        <v>10563.0</v>
      </c>
      <c r="BA257" s="5">
        <v>7717.0</v>
      </c>
      <c r="BB257" s="5">
        <v>5227.0</v>
      </c>
      <c r="BC257" s="5">
        <v>3301.0</v>
      </c>
      <c r="BD257" s="5">
        <v>3732.0</v>
      </c>
      <c r="BE257" s="4"/>
      <c r="BF257" s="4"/>
      <c r="BG257" s="4"/>
      <c r="BH257" s="4"/>
      <c r="BI257" s="4"/>
      <c r="BJ257" s="4"/>
    </row>
    <row r="258">
      <c r="A258" s="5"/>
      <c r="B258" s="5" t="s">
        <v>214</v>
      </c>
      <c r="C258" s="5">
        <v>695410.0</v>
      </c>
      <c r="D258" s="5">
        <v>71888.0</v>
      </c>
      <c r="E258" s="5">
        <v>74156.0</v>
      </c>
      <c r="F258" s="5">
        <v>70991.0</v>
      </c>
      <c r="G258" s="5">
        <v>65736.0</v>
      </c>
      <c r="H258" s="5">
        <v>69274.0</v>
      </c>
      <c r="I258" s="5">
        <v>62631.0</v>
      </c>
      <c r="J258" s="5">
        <v>55476.0</v>
      </c>
      <c r="K258" s="5">
        <v>47103.0</v>
      </c>
      <c r="L258" s="5">
        <v>42464.0</v>
      </c>
      <c r="M258" s="5">
        <v>36378.0</v>
      </c>
      <c r="N258" s="5">
        <v>30794.0</v>
      </c>
      <c r="O258" s="5">
        <v>24061.0</v>
      </c>
      <c r="P258" s="5">
        <v>17925.0</v>
      </c>
      <c r="Q258" s="5">
        <v>11976.0</v>
      </c>
      <c r="R258" s="5">
        <v>7079.0</v>
      </c>
      <c r="S258" s="5">
        <v>3900.0</v>
      </c>
      <c r="T258" s="5">
        <v>3578.0</v>
      </c>
      <c r="U258" s="5">
        <v>352221.0</v>
      </c>
      <c r="V258" s="5">
        <v>37200.0</v>
      </c>
      <c r="W258" s="5">
        <v>38540.0</v>
      </c>
      <c r="X258" s="5">
        <v>36394.0</v>
      </c>
      <c r="Y258" s="5">
        <v>32912.0</v>
      </c>
      <c r="Z258" s="5">
        <v>34873.0</v>
      </c>
      <c r="AA258" s="5">
        <v>31870.0</v>
      </c>
      <c r="AB258" s="5">
        <v>28614.0</v>
      </c>
      <c r="AC258" s="5">
        <v>24171.0</v>
      </c>
      <c r="AD258" s="5">
        <v>21653.0</v>
      </c>
      <c r="AE258" s="5">
        <v>18501.0</v>
      </c>
      <c r="AF258" s="5">
        <v>15345.0</v>
      </c>
      <c r="AG258" s="5">
        <v>11895.0</v>
      </c>
      <c r="AH258" s="5">
        <v>8694.0</v>
      </c>
      <c r="AI258" s="5">
        <v>5670.0</v>
      </c>
      <c r="AJ258" s="5">
        <v>3080.0</v>
      </c>
      <c r="AK258" s="5">
        <v>1575.0</v>
      </c>
      <c r="AL258" s="5">
        <v>1234.0</v>
      </c>
      <c r="AM258" s="5">
        <v>343189.0</v>
      </c>
      <c r="AN258" s="5">
        <v>34688.0</v>
      </c>
      <c r="AO258" s="5">
        <v>35616.0</v>
      </c>
      <c r="AP258" s="5">
        <v>34597.0</v>
      </c>
      <c r="AQ258" s="5">
        <v>32824.0</v>
      </c>
      <c r="AR258" s="5">
        <v>34401.0</v>
      </c>
      <c r="AS258" s="5">
        <v>30761.0</v>
      </c>
      <c r="AT258" s="5">
        <v>26862.0</v>
      </c>
      <c r="AU258" s="5">
        <v>22932.0</v>
      </c>
      <c r="AV258" s="5">
        <v>20811.0</v>
      </c>
      <c r="AW258" s="5">
        <v>17877.0</v>
      </c>
      <c r="AX258" s="5">
        <v>15449.0</v>
      </c>
      <c r="AY258" s="5">
        <v>12166.0</v>
      </c>
      <c r="AZ258" s="5">
        <v>9231.0</v>
      </c>
      <c r="BA258" s="5">
        <v>6306.0</v>
      </c>
      <c r="BB258" s="5">
        <v>3999.0</v>
      </c>
      <c r="BC258" s="5">
        <v>2325.0</v>
      </c>
      <c r="BD258" s="5">
        <v>2344.0</v>
      </c>
      <c r="BE258" s="4"/>
      <c r="BF258" s="4"/>
      <c r="BG258" s="4"/>
      <c r="BH258" s="4"/>
      <c r="BI258" s="4"/>
      <c r="BJ258" s="4"/>
    </row>
    <row r="259">
      <c r="A259" s="5"/>
      <c r="B259" s="5" t="s">
        <v>215</v>
      </c>
      <c r="C259" s="5">
        <v>2795340.0</v>
      </c>
      <c r="D259" s="5">
        <v>284914.0</v>
      </c>
      <c r="E259" s="5">
        <v>316589.0</v>
      </c>
      <c r="F259" s="5">
        <v>306231.0</v>
      </c>
      <c r="G259" s="5">
        <v>289362.0</v>
      </c>
      <c r="H259" s="5">
        <v>248386.0</v>
      </c>
      <c r="I259" s="5">
        <v>222420.0</v>
      </c>
      <c r="J259" s="5">
        <v>197303.0</v>
      </c>
      <c r="K259" s="5">
        <v>166443.0</v>
      </c>
      <c r="L259" s="5">
        <v>149865.0</v>
      </c>
      <c r="M259" s="5">
        <v>136240.0</v>
      </c>
      <c r="N259" s="5">
        <v>125143.0</v>
      </c>
      <c r="O259" s="5">
        <v>108697.0</v>
      </c>
      <c r="P259" s="5">
        <v>88176.0</v>
      </c>
      <c r="Q259" s="5">
        <v>62291.0</v>
      </c>
      <c r="R259" s="5">
        <v>41045.0</v>
      </c>
      <c r="S259" s="5">
        <v>26725.0</v>
      </c>
      <c r="T259" s="5">
        <v>25510.0</v>
      </c>
      <c r="U259" s="5">
        <v>1434391.0</v>
      </c>
      <c r="V259" s="5">
        <v>147516.0</v>
      </c>
      <c r="W259" s="5">
        <v>164108.0</v>
      </c>
      <c r="X259" s="5">
        <v>157981.0</v>
      </c>
      <c r="Y259" s="5">
        <v>148472.0</v>
      </c>
      <c r="Z259" s="5">
        <v>127578.0</v>
      </c>
      <c r="AA259" s="5">
        <v>115273.0</v>
      </c>
      <c r="AB259" s="5">
        <v>104122.0</v>
      </c>
      <c r="AC259" s="5">
        <v>88296.0</v>
      </c>
      <c r="AD259" s="5">
        <v>78560.0</v>
      </c>
      <c r="AE259" s="5">
        <v>70591.0</v>
      </c>
      <c r="AF259" s="5">
        <v>63964.0</v>
      </c>
      <c r="AG259" s="5">
        <v>54822.0</v>
      </c>
      <c r="AH259" s="5">
        <v>43706.0</v>
      </c>
      <c r="AI259" s="5">
        <v>29984.0</v>
      </c>
      <c r="AJ259" s="5">
        <v>18574.0</v>
      </c>
      <c r="AK259" s="5">
        <v>11222.0</v>
      </c>
      <c r="AL259" s="5">
        <v>9622.0</v>
      </c>
      <c r="AM259" s="5">
        <v>1360949.0</v>
      </c>
      <c r="AN259" s="5">
        <v>137398.0</v>
      </c>
      <c r="AO259" s="5">
        <v>152481.0</v>
      </c>
      <c r="AP259" s="5">
        <v>148250.0</v>
      </c>
      <c r="AQ259" s="5">
        <v>140890.0</v>
      </c>
      <c r="AR259" s="5">
        <v>120808.0</v>
      </c>
      <c r="AS259" s="5">
        <v>107147.0</v>
      </c>
      <c r="AT259" s="5">
        <v>93181.0</v>
      </c>
      <c r="AU259" s="5">
        <v>78147.0</v>
      </c>
      <c r="AV259" s="5">
        <v>71305.0</v>
      </c>
      <c r="AW259" s="5">
        <v>65649.0</v>
      </c>
      <c r="AX259" s="5">
        <v>61179.0</v>
      </c>
      <c r="AY259" s="5">
        <v>53875.0</v>
      </c>
      <c r="AZ259" s="5">
        <v>44470.0</v>
      </c>
      <c r="BA259" s="5">
        <v>32307.0</v>
      </c>
      <c r="BB259" s="5">
        <v>22471.0</v>
      </c>
      <c r="BC259" s="5">
        <v>15503.0</v>
      </c>
      <c r="BD259" s="5">
        <v>15888.0</v>
      </c>
      <c r="BE259" s="4"/>
      <c r="BF259" s="4"/>
      <c r="BG259" s="4"/>
      <c r="BH259" s="4"/>
      <c r="BI259" s="4"/>
      <c r="BJ259" s="4"/>
    </row>
    <row r="260">
      <c r="A260" s="5"/>
      <c r="B260" s="5" t="s">
        <v>216</v>
      </c>
      <c r="C260" s="5">
        <v>386211.0</v>
      </c>
      <c r="D260" s="5">
        <v>38481.0</v>
      </c>
      <c r="E260" s="5">
        <v>43830.0</v>
      </c>
      <c r="F260" s="5">
        <v>43224.0</v>
      </c>
      <c r="G260" s="5">
        <v>39647.0</v>
      </c>
      <c r="H260" s="5">
        <v>33946.0</v>
      </c>
      <c r="I260" s="5">
        <v>30102.0</v>
      </c>
      <c r="J260" s="5">
        <v>27653.0</v>
      </c>
      <c r="K260" s="5">
        <v>22897.0</v>
      </c>
      <c r="L260" s="5">
        <v>20543.0</v>
      </c>
      <c r="M260" s="5">
        <v>18443.0</v>
      </c>
      <c r="N260" s="5">
        <v>17321.0</v>
      </c>
      <c r="O260" s="5">
        <v>15412.0</v>
      </c>
      <c r="P260" s="5">
        <v>12741.0</v>
      </c>
      <c r="Q260" s="5">
        <v>9122.0</v>
      </c>
      <c r="R260" s="5">
        <v>5637.0</v>
      </c>
      <c r="S260" s="5">
        <v>3551.0</v>
      </c>
      <c r="T260" s="5">
        <v>3661.0</v>
      </c>
      <c r="U260" s="5">
        <v>197983.0</v>
      </c>
      <c r="V260" s="5">
        <v>19848.0</v>
      </c>
      <c r="W260" s="5">
        <v>22805.0</v>
      </c>
      <c r="X260" s="5">
        <v>22455.0</v>
      </c>
      <c r="Y260" s="5">
        <v>20306.0</v>
      </c>
      <c r="Z260" s="5">
        <v>17426.0</v>
      </c>
      <c r="AA260" s="5">
        <v>15530.0</v>
      </c>
      <c r="AB260" s="5">
        <v>14561.0</v>
      </c>
      <c r="AC260" s="5">
        <v>12076.0</v>
      </c>
      <c r="AD260" s="5">
        <v>10746.0</v>
      </c>
      <c r="AE260" s="5">
        <v>9437.0</v>
      </c>
      <c r="AF260" s="5">
        <v>8826.0</v>
      </c>
      <c r="AG260" s="5">
        <v>7728.0</v>
      </c>
      <c r="AH260" s="5">
        <v>6302.0</v>
      </c>
      <c r="AI260" s="5">
        <v>4417.0</v>
      </c>
      <c r="AJ260" s="5">
        <v>2611.0</v>
      </c>
      <c r="AK260" s="5">
        <v>1478.0</v>
      </c>
      <c r="AL260" s="5">
        <v>1431.0</v>
      </c>
      <c r="AM260" s="5">
        <v>188228.0</v>
      </c>
      <c r="AN260" s="5">
        <v>18633.0</v>
      </c>
      <c r="AO260" s="5">
        <v>21025.0</v>
      </c>
      <c r="AP260" s="5">
        <v>20769.0</v>
      </c>
      <c r="AQ260" s="5">
        <v>19341.0</v>
      </c>
      <c r="AR260" s="5">
        <v>16520.0</v>
      </c>
      <c r="AS260" s="5">
        <v>14572.0</v>
      </c>
      <c r="AT260" s="5">
        <v>13092.0</v>
      </c>
      <c r="AU260" s="5">
        <v>10821.0</v>
      </c>
      <c r="AV260" s="5">
        <v>9797.0</v>
      </c>
      <c r="AW260" s="5">
        <v>9006.0</v>
      </c>
      <c r="AX260" s="5">
        <v>8495.0</v>
      </c>
      <c r="AY260" s="5">
        <v>7684.0</v>
      </c>
      <c r="AZ260" s="5">
        <v>6439.0</v>
      </c>
      <c r="BA260" s="5">
        <v>4705.0</v>
      </c>
      <c r="BB260" s="5">
        <v>3026.0</v>
      </c>
      <c r="BC260" s="5">
        <v>2073.0</v>
      </c>
      <c r="BD260" s="5">
        <v>2230.0</v>
      </c>
      <c r="BE260" s="4"/>
      <c r="BF260" s="4"/>
      <c r="BG260" s="4"/>
      <c r="BH260" s="4"/>
      <c r="BI260" s="4"/>
      <c r="BJ260" s="4"/>
    </row>
    <row r="261">
      <c r="A261" s="5"/>
      <c r="B261" s="5" t="s">
        <v>217</v>
      </c>
      <c r="C261" s="5">
        <v>737991.0</v>
      </c>
      <c r="D261" s="5">
        <v>81142.0</v>
      </c>
      <c r="E261" s="5">
        <v>91104.0</v>
      </c>
      <c r="F261" s="5">
        <v>86720.0</v>
      </c>
      <c r="G261" s="5">
        <v>77631.0</v>
      </c>
      <c r="H261" s="5">
        <v>62610.0</v>
      </c>
      <c r="I261" s="5">
        <v>58780.0</v>
      </c>
      <c r="J261" s="5">
        <v>52190.0</v>
      </c>
      <c r="K261" s="5">
        <v>43045.0</v>
      </c>
      <c r="L261" s="5">
        <v>37694.0</v>
      </c>
      <c r="M261" s="5">
        <v>34391.0</v>
      </c>
      <c r="N261" s="5">
        <v>31215.0</v>
      </c>
      <c r="O261" s="5">
        <v>26645.0</v>
      </c>
      <c r="P261" s="5">
        <v>21102.0</v>
      </c>
      <c r="Q261" s="5">
        <v>14082.0</v>
      </c>
      <c r="R261" s="5">
        <v>8883.0</v>
      </c>
      <c r="S261" s="5">
        <v>5551.0</v>
      </c>
      <c r="T261" s="5">
        <v>5206.0</v>
      </c>
      <c r="U261" s="5">
        <v>383294.0</v>
      </c>
      <c r="V261" s="5">
        <v>42070.0</v>
      </c>
      <c r="W261" s="5">
        <v>47137.0</v>
      </c>
      <c r="X261" s="5">
        <v>44831.0</v>
      </c>
      <c r="Y261" s="5">
        <v>39904.0</v>
      </c>
      <c r="Z261" s="5">
        <v>32276.0</v>
      </c>
      <c r="AA261" s="5">
        <v>30650.0</v>
      </c>
      <c r="AB261" s="5">
        <v>28118.0</v>
      </c>
      <c r="AC261" s="5">
        <v>23247.0</v>
      </c>
      <c r="AD261" s="5">
        <v>20170.0</v>
      </c>
      <c r="AE261" s="5">
        <v>18261.0</v>
      </c>
      <c r="AF261" s="5">
        <v>16278.0</v>
      </c>
      <c r="AG261" s="5">
        <v>13822.0</v>
      </c>
      <c r="AH261" s="5">
        <v>10753.0</v>
      </c>
      <c r="AI261" s="5">
        <v>7029.0</v>
      </c>
      <c r="AJ261" s="5">
        <v>4199.0</v>
      </c>
      <c r="AK261" s="5">
        <v>2417.0</v>
      </c>
      <c r="AL261" s="5">
        <v>2132.0</v>
      </c>
      <c r="AM261" s="5">
        <v>354697.0</v>
      </c>
      <c r="AN261" s="5">
        <v>39072.0</v>
      </c>
      <c r="AO261" s="5">
        <v>43967.0</v>
      </c>
      <c r="AP261" s="5">
        <v>41889.0</v>
      </c>
      <c r="AQ261" s="5">
        <v>37727.0</v>
      </c>
      <c r="AR261" s="5">
        <v>30334.0</v>
      </c>
      <c r="AS261" s="5">
        <v>28130.0</v>
      </c>
      <c r="AT261" s="5">
        <v>24072.0</v>
      </c>
      <c r="AU261" s="5">
        <v>19798.0</v>
      </c>
      <c r="AV261" s="5">
        <v>17524.0</v>
      </c>
      <c r="AW261" s="5">
        <v>16130.0</v>
      </c>
      <c r="AX261" s="5">
        <v>14937.0</v>
      </c>
      <c r="AY261" s="5">
        <v>12823.0</v>
      </c>
      <c r="AZ261" s="5">
        <v>10349.0</v>
      </c>
      <c r="BA261" s="5">
        <v>7053.0</v>
      </c>
      <c r="BB261" s="5">
        <v>4684.0</v>
      </c>
      <c r="BC261" s="5">
        <v>3134.0</v>
      </c>
      <c r="BD261" s="5">
        <v>3074.0</v>
      </c>
      <c r="BE261" s="4"/>
      <c r="BF261" s="4"/>
      <c r="BG261" s="4"/>
      <c r="BH261" s="4"/>
      <c r="BI261" s="4"/>
      <c r="BJ261" s="4"/>
    </row>
    <row r="262">
      <c r="A262" s="5"/>
      <c r="B262" s="5" t="s">
        <v>218</v>
      </c>
      <c r="C262" s="5">
        <v>127963.0</v>
      </c>
      <c r="D262" s="5">
        <v>12990.0</v>
      </c>
      <c r="E262" s="5">
        <v>14003.0</v>
      </c>
      <c r="F262" s="5">
        <v>13609.0</v>
      </c>
      <c r="G262" s="5">
        <v>13286.0</v>
      </c>
      <c r="H262" s="5">
        <v>11314.0</v>
      </c>
      <c r="I262" s="5">
        <v>9913.0</v>
      </c>
      <c r="J262" s="5">
        <v>8354.0</v>
      </c>
      <c r="K262" s="5">
        <v>7020.0</v>
      </c>
      <c r="L262" s="5">
        <v>6330.0</v>
      </c>
      <c r="M262" s="5">
        <v>6180.0</v>
      </c>
      <c r="N262" s="5">
        <v>5815.0</v>
      </c>
      <c r="O262" s="5">
        <v>5068.0</v>
      </c>
      <c r="P262" s="5">
        <v>4329.0</v>
      </c>
      <c r="Q262" s="5">
        <v>3441.0</v>
      </c>
      <c r="R262" s="5">
        <v>2626.0</v>
      </c>
      <c r="S262" s="5">
        <v>1898.0</v>
      </c>
      <c r="T262" s="5">
        <v>1787.0</v>
      </c>
      <c r="U262" s="5">
        <v>65198.0</v>
      </c>
      <c r="V262" s="5">
        <v>6683.0</v>
      </c>
      <c r="W262" s="5">
        <v>7163.0</v>
      </c>
      <c r="X262" s="5">
        <v>7040.0</v>
      </c>
      <c r="Y262" s="5">
        <v>6902.0</v>
      </c>
      <c r="Z262" s="5">
        <v>5736.0</v>
      </c>
      <c r="AA262" s="5">
        <v>5101.0</v>
      </c>
      <c r="AB262" s="5">
        <v>4368.0</v>
      </c>
      <c r="AC262" s="5">
        <v>3708.0</v>
      </c>
      <c r="AD262" s="5">
        <v>3376.0</v>
      </c>
      <c r="AE262" s="5">
        <v>3160.0</v>
      </c>
      <c r="AF262" s="5">
        <v>2947.0</v>
      </c>
      <c r="AG262" s="5">
        <v>2527.0</v>
      </c>
      <c r="AH262" s="5">
        <v>2078.0</v>
      </c>
      <c r="AI262" s="5">
        <v>1649.0</v>
      </c>
      <c r="AJ262" s="5">
        <v>1146.0</v>
      </c>
      <c r="AK262" s="5">
        <v>858.0</v>
      </c>
      <c r="AL262" s="5">
        <v>756.0</v>
      </c>
      <c r="AM262" s="5">
        <v>62765.0</v>
      </c>
      <c r="AN262" s="5">
        <v>6307.0</v>
      </c>
      <c r="AO262" s="5">
        <v>6840.0</v>
      </c>
      <c r="AP262" s="5">
        <v>6569.0</v>
      </c>
      <c r="AQ262" s="5">
        <v>6384.0</v>
      </c>
      <c r="AR262" s="5">
        <v>5578.0</v>
      </c>
      <c r="AS262" s="5">
        <v>4812.0</v>
      </c>
      <c r="AT262" s="5">
        <v>3986.0</v>
      </c>
      <c r="AU262" s="5">
        <v>3312.0</v>
      </c>
      <c r="AV262" s="5">
        <v>2954.0</v>
      </c>
      <c r="AW262" s="5">
        <v>3020.0</v>
      </c>
      <c r="AX262" s="5">
        <v>2868.0</v>
      </c>
      <c r="AY262" s="5">
        <v>2541.0</v>
      </c>
      <c r="AZ262" s="5">
        <v>2251.0</v>
      </c>
      <c r="BA262" s="5">
        <v>1792.0</v>
      </c>
      <c r="BB262" s="5">
        <v>1480.0</v>
      </c>
      <c r="BC262" s="5">
        <v>1040.0</v>
      </c>
      <c r="BD262" s="5">
        <v>1031.0</v>
      </c>
      <c r="BE262" s="4"/>
      <c r="BF262" s="4"/>
      <c r="BG262" s="4"/>
      <c r="BH262" s="4"/>
      <c r="BI262" s="4"/>
      <c r="BJ262" s="4"/>
    </row>
    <row r="263">
      <c r="A263" s="5"/>
      <c r="B263" s="5" t="s">
        <v>219</v>
      </c>
      <c r="C263" s="5">
        <v>531753.0</v>
      </c>
      <c r="D263" s="5">
        <v>51527.0</v>
      </c>
      <c r="E263" s="5">
        <v>56016.0</v>
      </c>
      <c r="F263" s="5">
        <v>54200.0</v>
      </c>
      <c r="G263" s="5">
        <v>55969.0</v>
      </c>
      <c r="H263" s="5">
        <v>50122.0</v>
      </c>
      <c r="I263" s="5">
        <v>42360.0</v>
      </c>
      <c r="J263" s="5">
        <v>37353.0</v>
      </c>
      <c r="K263" s="5">
        <v>32583.0</v>
      </c>
      <c r="L263" s="5">
        <v>29971.0</v>
      </c>
      <c r="M263" s="5">
        <v>27332.0</v>
      </c>
      <c r="N263" s="5">
        <v>24415.0</v>
      </c>
      <c r="O263" s="5">
        <v>21025.0</v>
      </c>
      <c r="P263" s="5">
        <v>16950.0</v>
      </c>
      <c r="Q263" s="5">
        <v>12150.0</v>
      </c>
      <c r="R263" s="5">
        <v>8332.0</v>
      </c>
      <c r="S263" s="5">
        <v>6047.0</v>
      </c>
      <c r="T263" s="5">
        <v>5401.0</v>
      </c>
      <c r="U263" s="5">
        <v>270613.0</v>
      </c>
      <c r="V263" s="5">
        <v>26720.0</v>
      </c>
      <c r="W263" s="5">
        <v>28972.0</v>
      </c>
      <c r="X263" s="5">
        <v>28016.0</v>
      </c>
      <c r="Y263" s="5">
        <v>28668.0</v>
      </c>
      <c r="Z263" s="5">
        <v>25857.0</v>
      </c>
      <c r="AA263" s="5">
        <v>21984.0</v>
      </c>
      <c r="AB263" s="5">
        <v>19442.0</v>
      </c>
      <c r="AC263" s="5">
        <v>17134.0</v>
      </c>
      <c r="AD263" s="5">
        <v>15491.0</v>
      </c>
      <c r="AE263" s="5">
        <v>14040.0</v>
      </c>
      <c r="AF263" s="5">
        <v>12270.0</v>
      </c>
      <c r="AG263" s="5">
        <v>10426.0</v>
      </c>
      <c r="AH263" s="5">
        <v>8250.0</v>
      </c>
      <c r="AI263" s="5">
        <v>5579.0</v>
      </c>
      <c r="AJ263" s="5">
        <v>3547.0</v>
      </c>
      <c r="AK263" s="5">
        <v>2375.0</v>
      </c>
      <c r="AL263" s="5">
        <v>1842.0</v>
      </c>
      <c r="AM263" s="5">
        <v>261140.0</v>
      </c>
      <c r="AN263" s="5">
        <v>24807.0</v>
      </c>
      <c r="AO263" s="5">
        <v>27044.0</v>
      </c>
      <c r="AP263" s="5">
        <v>26184.0</v>
      </c>
      <c r="AQ263" s="5">
        <v>27301.0</v>
      </c>
      <c r="AR263" s="5">
        <v>24265.0</v>
      </c>
      <c r="AS263" s="5">
        <v>20376.0</v>
      </c>
      <c r="AT263" s="5">
        <v>17911.0</v>
      </c>
      <c r="AU263" s="5">
        <v>15449.0</v>
      </c>
      <c r="AV263" s="5">
        <v>14480.0</v>
      </c>
      <c r="AW263" s="5">
        <v>13292.0</v>
      </c>
      <c r="AX263" s="5">
        <v>12145.0</v>
      </c>
      <c r="AY263" s="5">
        <v>10599.0</v>
      </c>
      <c r="AZ263" s="5">
        <v>8700.0</v>
      </c>
      <c r="BA263" s="5">
        <v>6571.0</v>
      </c>
      <c r="BB263" s="5">
        <v>4785.0</v>
      </c>
      <c r="BC263" s="5">
        <v>3672.0</v>
      </c>
      <c r="BD263" s="5">
        <v>3559.0</v>
      </c>
      <c r="BE263" s="4"/>
      <c r="BF263" s="4"/>
      <c r="BG263" s="4"/>
      <c r="BH263" s="4"/>
      <c r="BI263" s="4"/>
      <c r="BJ263" s="4"/>
    </row>
    <row r="264">
      <c r="A264" s="5"/>
      <c r="B264" s="5" t="s">
        <v>220</v>
      </c>
      <c r="C264" s="5">
        <v>640512.0</v>
      </c>
      <c r="D264" s="5">
        <v>66385.0</v>
      </c>
      <c r="E264" s="5">
        <v>72467.0</v>
      </c>
      <c r="F264" s="5">
        <v>69334.0</v>
      </c>
      <c r="G264" s="5">
        <v>65126.0</v>
      </c>
      <c r="H264" s="5">
        <v>56069.0</v>
      </c>
      <c r="I264" s="5">
        <v>50140.0</v>
      </c>
      <c r="J264" s="5">
        <v>43977.0</v>
      </c>
      <c r="K264" s="5">
        <v>37964.0</v>
      </c>
      <c r="L264" s="5">
        <v>34018.0</v>
      </c>
      <c r="M264" s="5">
        <v>31159.0</v>
      </c>
      <c r="N264" s="5">
        <v>29021.0</v>
      </c>
      <c r="O264" s="5">
        <v>25619.0</v>
      </c>
      <c r="P264" s="5">
        <v>21110.0</v>
      </c>
      <c r="Q264" s="5">
        <v>15209.0</v>
      </c>
      <c r="R264" s="5">
        <v>10041.0</v>
      </c>
      <c r="S264" s="5">
        <v>6511.0</v>
      </c>
      <c r="T264" s="5">
        <v>6362.0</v>
      </c>
      <c r="U264" s="5">
        <v>329299.0</v>
      </c>
      <c r="V264" s="5">
        <v>34342.0</v>
      </c>
      <c r="W264" s="5">
        <v>37690.0</v>
      </c>
      <c r="X264" s="5">
        <v>35554.0</v>
      </c>
      <c r="Y264" s="5">
        <v>33439.0</v>
      </c>
      <c r="Z264" s="5">
        <v>28986.0</v>
      </c>
      <c r="AA264" s="5">
        <v>26111.0</v>
      </c>
      <c r="AB264" s="5">
        <v>23405.0</v>
      </c>
      <c r="AC264" s="5">
        <v>20292.0</v>
      </c>
      <c r="AD264" s="5">
        <v>17836.0</v>
      </c>
      <c r="AE264" s="5">
        <v>16099.0</v>
      </c>
      <c r="AF264" s="5">
        <v>14932.0</v>
      </c>
      <c r="AG264" s="5">
        <v>12929.0</v>
      </c>
      <c r="AH264" s="5">
        <v>10506.0</v>
      </c>
      <c r="AI264" s="5">
        <v>7435.0</v>
      </c>
      <c r="AJ264" s="5">
        <v>4635.0</v>
      </c>
      <c r="AK264" s="5">
        <v>2790.0</v>
      </c>
      <c r="AL264" s="5">
        <v>2318.0</v>
      </c>
      <c r="AM264" s="5">
        <v>311213.0</v>
      </c>
      <c r="AN264" s="5">
        <v>32043.0</v>
      </c>
      <c r="AO264" s="5">
        <v>34777.0</v>
      </c>
      <c r="AP264" s="5">
        <v>33780.0</v>
      </c>
      <c r="AQ264" s="5">
        <v>31687.0</v>
      </c>
      <c r="AR264" s="5">
        <v>27083.0</v>
      </c>
      <c r="AS264" s="5">
        <v>24029.0</v>
      </c>
      <c r="AT264" s="5">
        <v>20572.0</v>
      </c>
      <c r="AU264" s="5">
        <v>17672.0</v>
      </c>
      <c r="AV264" s="5">
        <v>16182.0</v>
      </c>
      <c r="AW264" s="5">
        <v>15060.0</v>
      </c>
      <c r="AX264" s="5">
        <v>14089.0</v>
      </c>
      <c r="AY264" s="5">
        <v>12690.0</v>
      </c>
      <c r="AZ264" s="5">
        <v>10604.0</v>
      </c>
      <c r="BA264" s="5">
        <v>7774.0</v>
      </c>
      <c r="BB264" s="5">
        <v>5406.0</v>
      </c>
      <c r="BC264" s="5">
        <v>3721.0</v>
      </c>
      <c r="BD264" s="5">
        <v>4044.0</v>
      </c>
      <c r="BE264" s="4"/>
      <c r="BF264" s="4"/>
      <c r="BG264" s="4"/>
      <c r="BH264" s="4"/>
      <c r="BI264" s="4"/>
      <c r="BJ264" s="4"/>
    </row>
    <row r="265">
      <c r="A265" s="5"/>
      <c r="B265" s="5" t="s">
        <v>221</v>
      </c>
      <c r="C265" s="5">
        <v>370910.0</v>
      </c>
      <c r="D265" s="5">
        <v>34389.0</v>
      </c>
      <c r="E265" s="5">
        <v>39169.0</v>
      </c>
      <c r="F265" s="5">
        <v>39144.0</v>
      </c>
      <c r="G265" s="5">
        <v>37703.0</v>
      </c>
      <c r="H265" s="5">
        <v>34325.0</v>
      </c>
      <c r="I265" s="5">
        <v>31125.0</v>
      </c>
      <c r="J265" s="5">
        <v>27776.0</v>
      </c>
      <c r="K265" s="5">
        <v>22934.0</v>
      </c>
      <c r="L265" s="5">
        <v>21309.0</v>
      </c>
      <c r="M265" s="5">
        <v>18735.0</v>
      </c>
      <c r="N265" s="5">
        <v>17356.0</v>
      </c>
      <c r="O265" s="5">
        <v>14928.0</v>
      </c>
      <c r="P265" s="5">
        <v>11944.0</v>
      </c>
      <c r="Q265" s="5">
        <v>8287.0</v>
      </c>
      <c r="R265" s="5">
        <v>5526.0</v>
      </c>
      <c r="S265" s="5">
        <v>3167.0</v>
      </c>
      <c r="T265" s="5">
        <v>3093.0</v>
      </c>
      <c r="U265" s="5">
        <v>188004.0</v>
      </c>
      <c r="V265" s="5">
        <v>17853.0</v>
      </c>
      <c r="W265" s="5">
        <v>20341.0</v>
      </c>
      <c r="X265" s="5">
        <v>20085.0</v>
      </c>
      <c r="Y265" s="5">
        <v>19253.0</v>
      </c>
      <c r="Z265" s="5">
        <v>17297.0</v>
      </c>
      <c r="AA265" s="5">
        <v>15897.0</v>
      </c>
      <c r="AB265" s="5">
        <v>14228.0</v>
      </c>
      <c r="AC265" s="5">
        <v>11839.0</v>
      </c>
      <c r="AD265" s="5">
        <v>10941.0</v>
      </c>
      <c r="AE265" s="5">
        <v>9594.0</v>
      </c>
      <c r="AF265" s="5">
        <v>8711.0</v>
      </c>
      <c r="AG265" s="5">
        <v>7390.0</v>
      </c>
      <c r="AH265" s="5">
        <v>5817.0</v>
      </c>
      <c r="AI265" s="5">
        <v>3875.0</v>
      </c>
      <c r="AJ265" s="5">
        <v>2436.0</v>
      </c>
      <c r="AK265" s="5">
        <v>1304.0</v>
      </c>
      <c r="AL265" s="5">
        <v>1143.0</v>
      </c>
      <c r="AM265" s="5">
        <v>182906.0</v>
      </c>
      <c r="AN265" s="5">
        <v>16536.0</v>
      </c>
      <c r="AO265" s="5">
        <v>18828.0</v>
      </c>
      <c r="AP265" s="5">
        <v>19059.0</v>
      </c>
      <c r="AQ265" s="5">
        <v>18450.0</v>
      </c>
      <c r="AR265" s="5">
        <v>17028.0</v>
      </c>
      <c r="AS265" s="5">
        <v>15228.0</v>
      </c>
      <c r="AT265" s="5">
        <v>13548.0</v>
      </c>
      <c r="AU265" s="5">
        <v>11095.0</v>
      </c>
      <c r="AV265" s="5">
        <v>10368.0</v>
      </c>
      <c r="AW265" s="5">
        <v>9141.0</v>
      </c>
      <c r="AX265" s="5">
        <v>8645.0</v>
      </c>
      <c r="AY265" s="5">
        <v>7538.0</v>
      </c>
      <c r="AZ265" s="5">
        <v>6127.0</v>
      </c>
      <c r="BA265" s="5">
        <v>4412.0</v>
      </c>
      <c r="BB265" s="5">
        <v>3090.0</v>
      </c>
      <c r="BC265" s="5">
        <v>1863.0</v>
      </c>
      <c r="BD265" s="5">
        <v>1950.0</v>
      </c>
      <c r="BE265" s="4"/>
      <c r="BF265" s="4"/>
      <c r="BG265" s="4"/>
      <c r="BH265" s="4"/>
      <c r="BI265" s="4"/>
      <c r="BJ265" s="4"/>
    </row>
    <row r="266">
      <c r="A266" s="5"/>
      <c r="B266" s="5" t="s">
        <v>222</v>
      </c>
      <c r="C266" s="5">
        <v>4938539.0</v>
      </c>
      <c r="D266" s="5">
        <v>740873.0</v>
      </c>
      <c r="E266" s="5">
        <v>671706.0</v>
      </c>
      <c r="F266" s="5">
        <v>632379.0</v>
      </c>
      <c r="G266" s="5">
        <v>548372.0</v>
      </c>
      <c r="H266" s="5">
        <v>487216.0</v>
      </c>
      <c r="I266" s="5">
        <v>414333.0</v>
      </c>
      <c r="J266" s="5">
        <v>325061.0</v>
      </c>
      <c r="K266" s="5">
        <v>282881.0</v>
      </c>
      <c r="L266" s="5">
        <v>244319.0</v>
      </c>
      <c r="M266" s="5">
        <v>195488.0</v>
      </c>
      <c r="N266" s="5">
        <v>138449.0</v>
      </c>
      <c r="O266" s="5">
        <v>90806.0</v>
      </c>
      <c r="P266" s="5">
        <v>65967.0</v>
      </c>
      <c r="Q266" s="5">
        <v>46430.0</v>
      </c>
      <c r="R266" s="5">
        <v>26794.0</v>
      </c>
      <c r="S266" s="5">
        <v>13857.0</v>
      </c>
      <c r="T266" s="5">
        <v>13608.0</v>
      </c>
      <c r="U266" s="5">
        <v>2474905.0</v>
      </c>
      <c r="V266" s="5">
        <v>378821.0</v>
      </c>
      <c r="W266" s="5">
        <v>339985.0</v>
      </c>
      <c r="X266" s="5">
        <v>317973.0</v>
      </c>
      <c r="Y266" s="5">
        <v>273425.0</v>
      </c>
      <c r="Z266" s="5">
        <v>239268.0</v>
      </c>
      <c r="AA266" s="5">
        <v>199809.0</v>
      </c>
      <c r="AB266" s="5">
        <v>159142.0</v>
      </c>
      <c r="AC266" s="5">
        <v>137141.0</v>
      </c>
      <c r="AD266" s="5">
        <v>122578.0</v>
      </c>
      <c r="AE266" s="5">
        <v>99861.0</v>
      </c>
      <c r="AF266" s="5">
        <v>73677.0</v>
      </c>
      <c r="AG266" s="5">
        <v>48317.0</v>
      </c>
      <c r="AH266" s="5">
        <v>34547.0</v>
      </c>
      <c r="AI266" s="5">
        <v>23732.0</v>
      </c>
      <c r="AJ266" s="5">
        <v>13717.0</v>
      </c>
      <c r="AK266" s="5">
        <v>6820.0</v>
      </c>
      <c r="AL266" s="5">
        <v>6092.0</v>
      </c>
      <c r="AM266" s="5">
        <v>2463634.0</v>
      </c>
      <c r="AN266" s="5">
        <v>362052.0</v>
      </c>
      <c r="AO266" s="5">
        <v>331721.0</v>
      </c>
      <c r="AP266" s="5">
        <v>314406.0</v>
      </c>
      <c r="AQ266" s="5">
        <v>274947.0</v>
      </c>
      <c r="AR266" s="5">
        <v>247948.0</v>
      </c>
      <c r="AS266" s="5">
        <v>214524.0</v>
      </c>
      <c r="AT266" s="5">
        <v>165919.0</v>
      </c>
      <c r="AU266" s="5">
        <v>145740.0</v>
      </c>
      <c r="AV266" s="5">
        <v>121741.0</v>
      </c>
      <c r="AW266" s="5">
        <v>95627.0</v>
      </c>
      <c r="AX266" s="5">
        <v>64772.0</v>
      </c>
      <c r="AY266" s="5">
        <v>42489.0</v>
      </c>
      <c r="AZ266" s="5">
        <v>31420.0</v>
      </c>
      <c r="BA266" s="5">
        <v>22698.0</v>
      </c>
      <c r="BB266" s="5">
        <v>13077.0</v>
      </c>
      <c r="BC266" s="5">
        <v>7037.0</v>
      </c>
      <c r="BD266" s="5">
        <v>7516.0</v>
      </c>
      <c r="BE266" s="4"/>
      <c r="BF266" s="4"/>
      <c r="BG266" s="4"/>
      <c r="BH266" s="4"/>
      <c r="BI266" s="4"/>
      <c r="BJ266" s="4"/>
    </row>
    <row r="267">
      <c r="A267" s="5"/>
      <c r="B267" s="5" t="s">
        <v>223</v>
      </c>
      <c r="C267" s="5">
        <v>425111.0</v>
      </c>
      <c r="D267" s="5">
        <v>63979.0</v>
      </c>
      <c r="E267" s="5">
        <v>61636.0</v>
      </c>
      <c r="F267" s="5">
        <v>56582.0</v>
      </c>
      <c r="G267" s="5">
        <v>45050.0</v>
      </c>
      <c r="H267" s="5">
        <v>40105.0</v>
      </c>
      <c r="I267" s="5">
        <v>34417.0</v>
      </c>
      <c r="J267" s="5">
        <v>27226.0</v>
      </c>
      <c r="K267" s="5">
        <v>23655.0</v>
      </c>
      <c r="L267" s="5">
        <v>19508.0</v>
      </c>
      <c r="M267" s="5">
        <v>16292.0</v>
      </c>
      <c r="N267" s="5">
        <v>12212.0</v>
      </c>
      <c r="O267" s="5">
        <v>8616.0</v>
      </c>
      <c r="P267" s="5">
        <v>6256.0</v>
      </c>
      <c r="Q267" s="5">
        <v>4528.0</v>
      </c>
      <c r="R267" s="5">
        <v>2411.0</v>
      </c>
      <c r="S267" s="5">
        <v>1320.0</v>
      </c>
      <c r="T267" s="5">
        <v>1318.0</v>
      </c>
      <c r="U267" s="5">
        <v>213101.0</v>
      </c>
      <c r="V267" s="5">
        <v>32675.0</v>
      </c>
      <c r="W267" s="5">
        <v>31474.0</v>
      </c>
      <c r="X267" s="5">
        <v>28765.0</v>
      </c>
      <c r="Y267" s="5">
        <v>22732.0</v>
      </c>
      <c r="Z267" s="5">
        <v>19710.0</v>
      </c>
      <c r="AA267" s="5">
        <v>16688.0</v>
      </c>
      <c r="AB267" s="5">
        <v>13222.0</v>
      </c>
      <c r="AC267" s="5">
        <v>11371.0</v>
      </c>
      <c r="AD267" s="5">
        <v>9670.0</v>
      </c>
      <c r="AE267" s="5">
        <v>8305.0</v>
      </c>
      <c r="AF267" s="5">
        <v>6329.0</v>
      </c>
      <c r="AG267" s="5">
        <v>4460.0</v>
      </c>
      <c r="AH267" s="5">
        <v>3172.0</v>
      </c>
      <c r="AI267" s="5">
        <v>2218.0</v>
      </c>
      <c r="AJ267" s="5">
        <v>1170.0</v>
      </c>
      <c r="AK267" s="5">
        <v>605.0</v>
      </c>
      <c r="AL267" s="5">
        <v>535.0</v>
      </c>
      <c r="AM267" s="5">
        <v>212010.0</v>
      </c>
      <c r="AN267" s="5">
        <v>31304.0</v>
      </c>
      <c r="AO267" s="5">
        <v>30162.0</v>
      </c>
      <c r="AP267" s="5">
        <v>27817.0</v>
      </c>
      <c r="AQ267" s="5">
        <v>22318.0</v>
      </c>
      <c r="AR267" s="5">
        <v>20395.0</v>
      </c>
      <c r="AS267" s="5">
        <v>17729.0</v>
      </c>
      <c r="AT267" s="5">
        <v>14004.0</v>
      </c>
      <c r="AU267" s="5">
        <v>12284.0</v>
      </c>
      <c r="AV267" s="5">
        <v>9838.0</v>
      </c>
      <c r="AW267" s="5">
        <v>7987.0</v>
      </c>
      <c r="AX267" s="5">
        <v>5883.0</v>
      </c>
      <c r="AY267" s="5">
        <v>4156.0</v>
      </c>
      <c r="AZ267" s="5">
        <v>3084.0</v>
      </c>
      <c r="BA267" s="5">
        <v>2310.0</v>
      </c>
      <c r="BB267" s="5">
        <v>1241.0</v>
      </c>
      <c r="BC267" s="5">
        <v>715.0</v>
      </c>
      <c r="BD267" s="5">
        <v>783.0</v>
      </c>
      <c r="BE267" s="4"/>
      <c r="BF267" s="4"/>
      <c r="BG267" s="4"/>
      <c r="BH267" s="4"/>
      <c r="BI267" s="4"/>
      <c r="BJ267" s="4"/>
    </row>
    <row r="268">
      <c r="A268" s="5"/>
      <c r="B268" s="5" t="s">
        <v>224</v>
      </c>
      <c r="C268" s="5">
        <v>1194507.0</v>
      </c>
      <c r="D268" s="5">
        <v>182925.0</v>
      </c>
      <c r="E268" s="5">
        <v>160576.0</v>
      </c>
      <c r="F268" s="5">
        <v>156233.0</v>
      </c>
      <c r="G268" s="5">
        <v>137554.0</v>
      </c>
      <c r="H268" s="5">
        <v>123810.0</v>
      </c>
      <c r="I268" s="5">
        <v>101418.0</v>
      </c>
      <c r="J268" s="5">
        <v>75871.0</v>
      </c>
      <c r="K268" s="5">
        <v>63633.0</v>
      </c>
      <c r="L268" s="5">
        <v>55861.0</v>
      </c>
      <c r="M268" s="5">
        <v>44624.0</v>
      </c>
      <c r="N268" s="5">
        <v>32651.0</v>
      </c>
      <c r="O268" s="5">
        <v>20800.0</v>
      </c>
      <c r="P268" s="5">
        <v>15346.0</v>
      </c>
      <c r="Q268" s="5">
        <v>10967.0</v>
      </c>
      <c r="R268" s="5">
        <v>5999.0</v>
      </c>
      <c r="S268" s="5">
        <v>3125.0</v>
      </c>
      <c r="T268" s="5">
        <v>3114.0</v>
      </c>
      <c r="U268" s="5">
        <v>590514.0</v>
      </c>
      <c r="V268" s="5">
        <v>92535.0</v>
      </c>
      <c r="W268" s="5">
        <v>80242.0</v>
      </c>
      <c r="X268" s="5">
        <v>77105.0</v>
      </c>
      <c r="Y268" s="5">
        <v>67541.0</v>
      </c>
      <c r="Z268" s="5">
        <v>59822.0</v>
      </c>
      <c r="AA268" s="5">
        <v>48460.0</v>
      </c>
      <c r="AB268" s="5">
        <v>36560.0</v>
      </c>
      <c r="AC268" s="5">
        <v>30804.0</v>
      </c>
      <c r="AD268" s="5">
        <v>27422.0</v>
      </c>
      <c r="AE268" s="5">
        <v>22367.0</v>
      </c>
      <c r="AF268" s="5">
        <v>16806.0</v>
      </c>
      <c r="AG268" s="5">
        <v>11006.0</v>
      </c>
      <c r="AH268" s="5">
        <v>7978.0</v>
      </c>
      <c r="AI268" s="5">
        <v>5631.0</v>
      </c>
      <c r="AJ268" s="5">
        <v>3124.0</v>
      </c>
      <c r="AK268" s="5">
        <v>1633.0</v>
      </c>
      <c r="AL268" s="5">
        <v>1478.0</v>
      </c>
      <c r="AM268" s="5">
        <v>603993.0</v>
      </c>
      <c r="AN268" s="5">
        <v>90390.0</v>
      </c>
      <c r="AO268" s="5">
        <v>80334.0</v>
      </c>
      <c r="AP268" s="5">
        <v>79128.0</v>
      </c>
      <c r="AQ268" s="5">
        <v>70013.0</v>
      </c>
      <c r="AR268" s="5">
        <v>63988.0</v>
      </c>
      <c r="AS268" s="5">
        <v>52958.0</v>
      </c>
      <c r="AT268" s="5">
        <v>39311.0</v>
      </c>
      <c r="AU268" s="5">
        <v>32829.0</v>
      </c>
      <c r="AV268" s="5">
        <v>28439.0</v>
      </c>
      <c r="AW268" s="5">
        <v>22257.0</v>
      </c>
      <c r="AX268" s="5">
        <v>15845.0</v>
      </c>
      <c r="AY268" s="5">
        <v>9794.0</v>
      </c>
      <c r="AZ268" s="5">
        <v>7368.0</v>
      </c>
      <c r="BA268" s="5">
        <v>5336.0</v>
      </c>
      <c r="BB268" s="5">
        <v>2875.0</v>
      </c>
      <c r="BC268" s="5">
        <v>1492.0</v>
      </c>
      <c r="BD268" s="5">
        <v>1636.0</v>
      </c>
      <c r="BE268" s="4"/>
      <c r="BF268" s="4"/>
      <c r="BG268" s="4"/>
      <c r="BH268" s="4"/>
      <c r="BI268" s="4"/>
      <c r="BJ268" s="4"/>
    </row>
    <row r="269">
      <c r="A269" s="5"/>
      <c r="B269" s="5" t="s">
        <v>225</v>
      </c>
      <c r="C269" s="5">
        <v>1666353.0</v>
      </c>
      <c r="D269" s="5">
        <v>261467.0</v>
      </c>
      <c r="E269" s="5">
        <v>229074.0</v>
      </c>
      <c r="F269" s="5">
        <v>213573.0</v>
      </c>
      <c r="G269" s="5">
        <v>174693.0</v>
      </c>
      <c r="H269" s="5">
        <v>160892.0</v>
      </c>
      <c r="I269" s="5">
        <v>138580.0</v>
      </c>
      <c r="J269" s="5">
        <v>113999.0</v>
      </c>
      <c r="K269" s="5">
        <v>97176.0</v>
      </c>
      <c r="L269" s="5">
        <v>84524.0</v>
      </c>
      <c r="M269" s="5">
        <v>64490.0</v>
      </c>
      <c r="N269" s="5">
        <v>45598.0</v>
      </c>
      <c r="O269" s="5">
        <v>29769.0</v>
      </c>
      <c r="P269" s="5">
        <v>21450.0</v>
      </c>
      <c r="Q269" s="5">
        <v>14021.0</v>
      </c>
      <c r="R269" s="5">
        <v>8421.0</v>
      </c>
      <c r="S269" s="5">
        <v>4275.0</v>
      </c>
      <c r="T269" s="5">
        <v>4351.0</v>
      </c>
      <c r="U269" s="5">
        <v>845171.0</v>
      </c>
      <c r="V269" s="5">
        <v>135552.0</v>
      </c>
      <c r="W269" s="5">
        <v>117084.0</v>
      </c>
      <c r="X269" s="5">
        <v>108404.0</v>
      </c>
      <c r="Y269" s="5">
        <v>88482.0</v>
      </c>
      <c r="Z269" s="5">
        <v>79941.0</v>
      </c>
      <c r="AA269" s="5">
        <v>67472.0</v>
      </c>
      <c r="AB269" s="5">
        <v>56411.0</v>
      </c>
      <c r="AC269" s="5">
        <v>47340.0</v>
      </c>
      <c r="AD269" s="5">
        <v>43103.0</v>
      </c>
      <c r="AE269" s="5">
        <v>33424.0</v>
      </c>
      <c r="AF269" s="5">
        <v>24766.0</v>
      </c>
      <c r="AG269" s="5">
        <v>16181.0</v>
      </c>
      <c r="AH269" s="5">
        <v>11302.0</v>
      </c>
      <c r="AI269" s="5">
        <v>7377.0</v>
      </c>
      <c r="AJ269" s="5">
        <v>4323.0</v>
      </c>
      <c r="AK269" s="5">
        <v>2093.0</v>
      </c>
      <c r="AL269" s="5">
        <v>1916.0</v>
      </c>
      <c r="AM269" s="5">
        <v>821182.0</v>
      </c>
      <c r="AN269" s="5">
        <v>125915.0</v>
      </c>
      <c r="AO269" s="5">
        <v>111990.0</v>
      </c>
      <c r="AP269" s="5">
        <v>105169.0</v>
      </c>
      <c r="AQ269" s="5">
        <v>86211.0</v>
      </c>
      <c r="AR269" s="5">
        <v>80951.0</v>
      </c>
      <c r="AS269" s="5">
        <v>71108.0</v>
      </c>
      <c r="AT269" s="5">
        <v>57588.0</v>
      </c>
      <c r="AU269" s="5">
        <v>49836.0</v>
      </c>
      <c r="AV269" s="5">
        <v>41421.0</v>
      </c>
      <c r="AW269" s="5">
        <v>31066.0</v>
      </c>
      <c r="AX269" s="5">
        <v>20832.0</v>
      </c>
      <c r="AY269" s="5">
        <v>13588.0</v>
      </c>
      <c r="AZ269" s="5">
        <v>10148.0</v>
      </c>
      <c r="BA269" s="5">
        <v>6644.0</v>
      </c>
      <c r="BB269" s="5">
        <v>4098.0</v>
      </c>
      <c r="BC269" s="5">
        <v>2182.0</v>
      </c>
      <c r="BD269" s="5">
        <v>2435.0</v>
      </c>
      <c r="BE269" s="4"/>
      <c r="BF269" s="4"/>
      <c r="BG269" s="4"/>
      <c r="BH269" s="4"/>
      <c r="BI269" s="4"/>
      <c r="BJ269" s="4"/>
    </row>
    <row r="270">
      <c r="A270" s="5"/>
      <c r="B270" s="5" t="s">
        <v>226</v>
      </c>
      <c r="C270" s="5">
        <v>998675.0</v>
      </c>
      <c r="D270" s="5">
        <v>130431.0</v>
      </c>
      <c r="E270" s="5">
        <v>135390.0</v>
      </c>
      <c r="F270" s="5">
        <v>130518.0</v>
      </c>
      <c r="G270" s="5">
        <v>122121.0</v>
      </c>
      <c r="H270" s="5">
        <v>100731.0</v>
      </c>
      <c r="I270" s="5">
        <v>84344.0</v>
      </c>
      <c r="J270" s="5">
        <v>62854.0</v>
      </c>
      <c r="K270" s="5">
        <v>58477.0</v>
      </c>
      <c r="L270" s="5">
        <v>50591.0</v>
      </c>
      <c r="M270" s="5">
        <v>42671.0</v>
      </c>
      <c r="N270" s="5">
        <v>28650.0</v>
      </c>
      <c r="O270" s="5">
        <v>18751.0</v>
      </c>
      <c r="P270" s="5">
        <v>13046.0</v>
      </c>
      <c r="Q270" s="5">
        <v>9290.0</v>
      </c>
      <c r="R270" s="5">
        <v>5469.0</v>
      </c>
      <c r="S270" s="5">
        <v>2727.0</v>
      </c>
      <c r="T270" s="5">
        <v>2614.0</v>
      </c>
      <c r="U270" s="5">
        <v>496002.0</v>
      </c>
      <c r="V270" s="5">
        <v>65509.0</v>
      </c>
      <c r="W270" s="5">
        <v>67916.0</v>
      </c>
      <c r="X270" s="5">
        <v>65431.0</v>
      </c>
      <c r="Y270" s="5">
        <v>60204.0</v>
      </c>
      <c r="Z270" s="5">
        <v>49096.0</v>
      </c>
      <c r="AA270" s="5">
        <v>40196.0</v>
      </c>
      <c r="AB270" s="5">
        <v>30674.0</v>
      </c>
      <c r="AC270" s="5">
        <v>28170.0</v>
      </c>
      <c r="AD270" s="5">
        <v>25322.0</v>
      </c>
      <c r="AE270" s="5">
        <v>21620.0</v>
      </c>
      <c r="AF270" s="5">
        <v>15318.0</v>
      </c>
      <c r="AG270" s="5">
        <v>9731.0</v>
      </c>
      <c r="AH270" s="5">
        <v>6956.0</v>
      </c>
      <c r="AI270" s="5">
        <v>4581.0</v>
      </c>
      <c r="AJ270" s="5">
        <v>2805.0</v>
      </c>
      <c r="AK270" s="5">
        <v>1293.0</v>
      </c>
      <c r="AL270" s="5">
        <v>1180.0</v>
      </c>
      <c r="AM270" s="5">
        <v>502673.0</v>
      </c>
      <c r="AN270" s="5">
        <v>64922.0</v>
      </c>
      <c r="AO270" s="5">
        <v>67474.0</v>
      </c>
      <c r="AP270" s="5">
        <v>65087.0</v>
      </c>
      <c r="AQ270" s="5">
        <v>61917.0</v>
      </c>
      <c r="AR270" s="5">
        <v>51635.0</v>
      </c>
      <c r="AS270" s="5">
        <v>44148.0</v>
      </c>
      <c r="AT270" s="5">
        <v>32180.0</v>
      </c>
      <c r="AU270" s="5">
        <v>30307.0</v>
      </c>
      <c r="AV270" s="5">
        <v>25269.0</v>
      </c>
      <c r="AW270" s="5">
        <v>21051.0</v>
      </c>
      <c r="AX270" s="5">
        <v>13332.0</v>
      </c>
      <c r="AY270" s="5">
        <v>9020.0</v>
      </c>
      <c r="AZ270" s="5">
        <v>6090.0</v>
      </c>
      <c r="BA270" s="5">
        <v>4709.0</v>
      </c>
      <c r="BB270" s="5">
        <v>2664.0</v>
      </c>
      <c r="BC270" s="5">
        <v>1434.0</v>
      </c>
      <c r="BD270" s="5">
        <v>1434.0</v>
      </c>
      <c r="BE270" s="4"/>
      <c r="BF270" s="4"/>
      <c r="BG270" s="4"/>
      <c r="BH270" s="4"/>
      <c r="BI270" s="4"/>
      <c r="BJ270" s="4"/>
    </row>
    <row r="271">
      <c r="A271" s="5"/>
      <c r="B271" s="5" t="s">
        <v>227</v>
      </c>
      <c r="C271" s="5">
        <v>438545.0</v>
      </c>
      <c r="D271" s="5">
        <v>69205.0</v>
      </c>
      <c r="E271" s="5">
        <v>57811.0</v>
      </c>
      <c r="F271" s="5">
        <v>51303.0</v>
      </c>
      <c r="G271" s="5">
        <v>46037.0</v>
      </c>
      <c r="H271" s="5">
        <v>39149.0</v>
      </c>
      <c r="I271" s="5">
        <v>36066.0</v>
      </c>
      <c r="J271" s="5">
        <v>30121.0</v>
      </c>
      <c r="K271" s="5">
        <v>27751.0</v>
      </c>
      <c r="L271" s="5">
        <v>23614.0</v>
      </c>
      <c r="M271" s="5">
        <v>19288.0</v>
      </c>
      <c r="N271" s="5">
        <v>13179.0</v>
      </c>
      <c r="O271" s="5">
        <v>8890.0</v>
      </c>
      <c r="P271" s="5">
        <v>6326.0</v>
      </c>
      <c r="Q271" s="5">
        <v>4795.0</v>
      </c>
      <c r="R271" s="5">
        <v>2628.0</v>
      </c>
      <c r="S271" s="5">
        <v>1324.0</v>
      </c>
      <c r="T271" s="5">
        <v>1058.0</v>
      </c>
      <c r="U271" s="5">
        <v>221374.0</v>
      </c>
      <c r="V271" s="5">
        <v>35669.0</v>
      </c>
      <c r="W271" s="5">
        <v>29317.0</v>
      </c>
      <c r="X271" s="5">
        <v>25809.0</v>
      </c>
      <c r="Y271" s="5">
        <v>23097.0</v>
      </c>
      <c r="Z271" s="5">
        <v>19538.0</v>
      </c>
      <c r="AA271" s="5">
        <v>17217.0</v>
      </c>
      <c r="AB271" s="5">
        <v>14744.0</v>
      </c>
      <c r="AC271" s="5">
        <v>13437.0</v>
      </c>
      <c r="AD271" s="5">
        <v>11908.0</v>
      </c>
      <c r="AE271" s="5">
        <v>10043.0</v>
      </c>
      <c r="AF271" s="5">
        <v>7227.0</v>
      </c>
      <c r="AG271" s="5">
        <v>4815.0</v>
      </c>
      <c r="AH271" s="5">
        <v>3413.0</v>
      </c>
      <c r="AI271" s="5">
        <v>2578.0</v>
      </c>
      <c r="AJ271" s="5">
        <v>1395.0</v>
      </c>
      <c r="AK271" s="5">
        <v>688.0</v>
      </c>
      <c r="AL271" s="5">
        <v>479.0</v>
      </c>
      <c r="AM271" s="5">
        <v>217171.0</v>
      </c>
      <c r="AN271" s="5">
        <v>33536.0</v>
      </c>
      <c r="AO271" s="5">
        <v>28494.0</v>
      </c>
      <c r="AP271" s="5">
        <v>25494.0</v>
      </c>
      <c r="AQ271" s="5">
        <v>22940.0</v>
      </c>
      <c r="AR271" s="5">
        <v>19611.0</v>
      </c>
      <c r="AS271" s="5">
        <v>18849.0</v>
      </c>
      <c r="AT271" s="5">
        <v>15377.0</v>
      </c>
      <c r="AU271" s="5">
        <v>14314.0</v>
      </c>
      <c r="AV271" s="5">
        <v>11706.0</v>
      </c>
      <c r="AW271" s="5">
        <v>9245.0</v>
      </c>
      <c r="AX271" s="5">
        <v>5952.0</v>
      </c>
      <c r="AY271" s="5">
        <v>4075.0</v>
      </c>
      <c r="AZ271" s="5">
        <v>2913.0</v>
      </c>
      <c r="BA271" s="5">
        <v>2217.0</v>
      </c>
      <c r="BB271" s="5">
        <v>1233.0</v>
      </c>
      <c r="BC271" s="5">
        <v>636.0</v>
      </c>
      <c r="BD271" s="5">
        <v>579.0</v>
      </c>
      <c r="BE271" s="4"/>
      <c r="BF271" s="4"/>
      <c r="BG271" s="4"/>
      <c r="BH271" s="4"/>
      <c r="BI271" s="4"/>
      <c r="BJ271" s="4"/>
    </row>
    <row r="272">
      <c r="A272" s="5"/>
      <c r="B272" s="5" t="s">
        <v>228</v>
      </c>
      <c r="C272" s="5">
        <v>215348.0</v>
      </c>
      <c r="D272" s="5">
        <v>32866.0</v>
      </c>
      <c r="E272" s="5">
        <v>27219.0</v>
      </c>
      <c r="F272" s="5">
        <v>24170.0</v>
      </c>
      <c r="G272" s="5">
        <v>22917.0</v>
      </c>
      <c r="H272" s="5">
        <v>22529.0</v>
      </c>
      <c r="I272" s="5">
        <v>19508.0</v>
      </c>
      <c r="J272" s="5">
        <v>14990.0</v>
      </c>
      <c r="K272" s="5">
        <v>12189.0</v>
      </c>
      <c r="L272" s="5">
        <v>10221.0</v>
      </c>
      <c r="M272" s="5">
        <v>8123.0</v>
      </c>
      <c r="N272" s="5">
        <v>6159.0</v>
      </c>
      <c r="O272" s="5">
        <v>3980.0</v>
      </c>
      <c r="P272" s="5">
        <v>3543.0</v>
      </c>
      <c r="Q272" s="5">
        <v>2829.0</v>
      </c>
      <c r="R272" s="5">
        <v>1866.0</v>
      </c>
      <c r="S272" s="5">
        <v>1086.0</v>
      </c>
      <c r="T272" s="5">
        <v>1153.0</v>
      </c>
      <c r="U272" s="5">
        <v>108743.0</v>
      </c>
      <c r="V272" s="5">
        <v>16881.0</v>
      </c>
      <c r="W272" s="5">
        <v>13952.0</v>
      </c>
      <c r="X272" s="5">
        <v>12459.0</v>
      </c>
      <c r="Y272" s="5">
        <v>11369.0</v>
      </c>
      <c r="Z272" s="5">
        <v>11161.0</v>
      </c>
      <c r="AA272" s="5">
        <v>9776.0</v>
      </c>
      <c r="AB272" s="5">
        <v>7531.0</v>
      </c>
      <c r="AC272" s="5">
        <v>6019.0</v>
      </c>
      <c r="AD272" s="5">
        <v>5153.0</v>
      </c>
      <c r="AE272" s="5">
        <v>4102.0</v>
      </c>
      <c r="AF272" s="5">
        <v>3231.0</v>
      </c>
      <c r="AG272" s="5">
        <v>2124.0</v>
      </c>
      <c r="AH272" s="5">
        <v>1726.0</v>
      </c>
      <c r="AI272" s="5">
        <v>1347.0</v>
      </c>
      <c r="AJ272" s="5">
        <v>900.0</v>
      </c>
      <c r="AK272" s="5">
        <v>508.0</v>
      </c>
      <c r="AL272" s="5">
        <v>504.0</v>
      </c>
      <c r="AM272" s="5">
        <v>106605.0</v>
      </c>
      <c r="AN272" s="5">
        <v>15985.0</v>
      </c>
      <c r="AO272" s="5">
        <v>13267.0</v>
      </c>
      <c r="AP272" s="5">
        <v>11711.0</v>
      </c>
      <c r="AQ272" s="5">
        <v>11548.0</v>
      </c>
      <c r="AR272" s="5">
        <v>11368.0</v>
      </c>
      <c r="AS272" s="5">
        <v>9732.0</v>
      </c>
      <c r="AT272" s="5">
        <v>7459.0</v>
      </c>
      <c r="AU272" s="5">
        <v>6170.0</v>
      </c>
      <c r="AV272" s="5">
        <v>5068.0</v>
      </c>
      <c r="AW272" s="5">
        <v>4021.0</v>
      </c>
      <c r="AX272" s="5">
        <v>2928.0</v>
      </c>
      <c r="AY272" s="5">
        <v>1856.0</v>
      </c>
      <c r="AZ272" s="5">
        <v>1817.0</v>
      </c>
      <c r="BA272" s="5">
        <v>1482.0</v>
      </c>
      <c r="BB272" s="5">
        <v>966.0</v>
      </c>
      <c r="BC272" s="5">
        <v>578.0</v>
      </c>
      <c r="BD272" s="5">
        <v>649.0</v>
      </c>
      <c r="BE272" s="4"/>
      <c r="BF272" s="4"/>
      <c r="BG272" s="4"/>
      <c r="BH272" s="4"/>
      <c r="BI272" s="4"/>
      <c r="BJ272" s="4"/>
    </row>
    <row r="273">
      <c r="A273" s="5" t="s">
        <v>230</v>
      </c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  <c r="AG273" s="5"/>
      <c r="AH273" s="5"/>
      <c r="AI273" s="5"/>
      <c r="AJ273" s="5"/>
      <c r="AK273" s="5"/>
      <c r="AL273" s="5"/>
      <c r="AM273" s="5"/>
      <c r="AN273" s="5"/>
      <c r="AO273" s="5"/>
      <c r="AP273" s="5"/>
      <c r="AQ273" s="5"/>
      <c r="AR273" s="5"/>
      <c r="AS273" s="5"/>
      <c r="AT273" s="5"/>
      <c r="AU273" s="5"/>
      <c r="AV273" s="5"/>
      <c r="AW273" s="5"/>
      <c r="AX273" s="5"/>
      <c r="AY273" s="5"/>
      <c r="AZ273" s="5"/>
      <c r="BA273" s="5"/>
      <c r="BB273" s="5"/>
      <c r="BC273" s="5"/>
      <c r="BD273" s="5"/>
      <c r="BE273" s="4"/>
      <c r="BF273" s="4"/>
      <c r="BG273" s="4"/>
      <c r="BH273" s="4"/>
      <c r="BI273" s="4"/>
      <c r="BJ273" s="4"/>
    </row>
    <row r="274">
      <c r="A274" s="5" t="s">
        <v>77</v>
      </c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  <c r="AG274" s="5"/>
      <c r="AH274" s="5"/>
      <c r="AI274" s="5"/>
      <c r="AJ274" s="5"/>
      <c r="AK274" s="5"/>
      <c r="AL274" s="5"/>
      <c r="AM274" s="5"/>
      <c r="AN274" s="5"/>
      <c r="AO274" s="5"/>
      <c r="AP274" s="5"/>
      <c r="AQ274" s="5"/>
      <c r="AR274" s="5"/>
      <c r="AS274" s="5"/>
      <c r="AT274" s="5"/>
      <c r="AU274" s="5"/>
      <c r="AV274" s="5"/>
      <c r="AW274" s="5"/>
      <c r="AX274" s="5"/>
      <c r="AY274" s="5"/>
      <c r="AZ274" s="5"/>
      <c r="BA274" s="5"/>
      <c r="BB274" s="5"/>
      <c r="BC274" s="5"/>
      <c r="BD274" s="5"/>
      <c r="BE274" s="4"/>
      <c r="BF274" s="4"/>
      <c r="BG274" s="4"/>
      <c r="BH274" s="4"/>
      <c r="BI274" s="4"/>
      <c r="BJ274" s="4"/>
    </row>
    <row r="275">
      <c r="A275" s="5" t="s">
        <v>231</v>
      </c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  <c r="AG275" s="5"/>
      <c r="AH275" s="5"/>
      <c r="AI275" s="5"/>
      <c r="AJ275" s="5"/>
      <c r="AK275" s="5"/>
      <c r="AL275" s="5"/>
      <c r="AM275" s="5"/>
      <c r="AN275" s="5"/>
      <c r="AO275" s="5"/>
      <c r="AP275" s="5"/>
      <c r="AQ275" s="5"/>
      <c r="AR275" s="5"/>
      <c r="AS275" s="5"/>
      <c r="AT275" s="5"/>
      <c r="AU275" s="5"/>
      <c r="AV275" s="5"/>
      <c r="AW275" s="5"/>
      <c r="AX275" s="5"/>
      <c r="AY275" s="5"/>
      <c r="AZ275" s="5"/>
      <c r="BA275" s="5"/>
      <c r="BB275" s="5"/>
      <c r="BC275" s="5"/>
      <c r="BD275" s="5"/>
      <c r="BE275" s="4"/>
      <c r="BF275" s="4"/>
      <c r="BG275" s="4"/>
      <c r="BH275" s="4"/>
      <c r="BI275" s="4"/>
      <c r="BJ275" s="4"/>
    </row>
    <row r="276">
      <c r="A276" s="5" t="s">
        <v>79</v>
      </c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  <c r="AG276" s="5"/>
      <c r="AH276" s="5"/>
      <c r="AI276" s="5"/>
      <c r="AJ276" s="5"/>
      <c r="AK276" s="5"/>
      <c r="AL276" s="5"/>
      <c r="AM276" s="5"/>
      <c r="AN276" s="5"/>
      <c r="AO276" s="5"/>
      <c r="AP276" s="5"/>
      <c r="AQ276" s="5"/>
      <c r="AR276" s="5"/>
      <c r="AS276" s="5"/>
      <c r="AT276" s="5"/>
      <c r="AU276" s="5"/>
      <c r="AV276" s="5"/>
      <c r="AW276" s="5"/>
      <c r="AX276" s="5"/>
      <c r="AY276" s="5"/>
      <c r="AZ276" s="5"/>
      <c r="BA276" s="5"/>
      <c r="BB276" s="5"/>
      <c r="BC276" s="5"/>
      <c r="BD276" s="5"/>
      <c r="BE276" s="4"/>
      <c r="BF276" s="4"/>
      <c r="BG276" s="4"/>
      <c r="BH276" s="4"/>
      <c r="BI276" s="4"/>
      <c r="BJ276" s="4"/>
    </row>
    <row r="277">
      <c r="A277" s="5" t="s">
        <v>232</v>
      </c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  <c r="AG277" s="5"/>
      <c r="AH277" s="5"/>
      <c r="AI277" s="5"/>
      <c r="AJ277" s="5"/>
      <c r="AK277" s="5"/>
      <c r="AL277" s="5"/>
      <c r="AM277" s="5"/>
      <c r="AN277" s="5"/>
      <c r="AO277" s="5"/>
      <c r="AP277" s="5"/>
      <c r="AQ277" s="5"/>
      <c r="AR277" s="5"/>
      <c r="AS277" s="5"/>
      <c r="AT277" s="5"/>
      <c r="AU277" s="5"/>
      <c r="AV277" s="5"/>
      <c r="AW277" s="5"/>
      <c r="AX277" s="5"/>
      <c r="AY277" s="5"/>
      <c r="AZ277" s="5"/>
      <c r="BA277" s="5"/>
      <c r="BB277" s="5"/>
      <c r="BC277" s="5"/>
      <c r="BD277" s="5"/>
      <c r="BE277" s="4"/>
      <c r="BF277" s="4"/>
      <c r="BG277" s="4"/>
      <c r="BH277" s="4"/>
      <c r="BI277" s="4"/>
      <c r="BJ277" s="4"/>
    </row>
    <row r="278">
      <c r="A278" s="5" t="s">
        <v>81</v>
      </c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  <c r="AG278" s="5"/>
      <c r="AH278" s="5"/>
      <c r="AI278" s="5"/>
      <c r="AJ278" s="5"/>
      <c r="AK278" s="5"/>
      <c r="AL278" s="5"/>
      <c r="AM278" s="5"/>
      <c r="AN278" s="5"/>
      <c r="AO278" s="5"/>
      <c r="AP278" s="5"/>
      <c r="AQ278" s="5"/>
      <c r="AR278" s="5"/>
      <c r="AS278" s="5"/>
      <c r="AT278" s="5"/>
      <c r="AU278" s="5"/>
      <c r="AV278" s="5"/>
      <c r="AW278" s="5"/>
      <c r="AX278" s="5"/>
      <c r="AY278" s="5"/>
      <c r="AZ278" s="5"/>
      <c r="BA278" s="5"/>
      <c r="BB278" s="5"/>
      <c r="BC278" s="5"/>
      <c r="BD278" s="5"/>
      <c r="BE278" s="4"/>
      <c r="BF278" s="4"/>
      <c r="BG278" s="4"/>
      <c r="BH278" s="4"/>
      <c r="BI278" s="4"/>
      <c r="BJ278" s="4"/>
    </row>
    <row r="279">
      <c r="A279" s="5" t="s">
        <v>233</v>
      </c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  <c r="AG279" s="5"/>
      <c r="AH279" s="5"/>
      <c r="AI279" s="5"/>
      <c r="AJ279" s="5"/>
      <c r="AK279" s="5"/>
      <c r="AL279" s="5"/>
      <c r="AM279" s="5"/>
      <c r="AN279" s="5"/>
      <c r="AO279" s="5"/>
      <c r="AP279" s="5"/>
      <c r="AQ279" s="5"/>
      <c r="AR279" s="5"/>
      <c r="AS279" s="5"/>
      <c r="AT279" s="5"/>
      <c r="AU279" s="5"/>
      <c r="AV279" s="5"/>
      <c r="AW279" s="5"/>
      <c r="AX279" s="5"/>
      <c r="AY279" s="5"/>
      <c r="AZ279" s="5"/>
      <c r="BA279" s="5"/>
      <c r="BB279" s="5"/>
      <c r="BC279" s="5"/>
      <c r="BD279" s="5"/>
      <c r="BE279" s="4"/>
      <c r="BF279" s="4"/>
      <c r="BG279" s="4"/>
      <c r="BH279" s="4"/>
      <c r="BI279" s="4"/>
      <c r="BJ279" s="4"/>
    </row>
    <row r="280">
      <c r="A280" s="5" t="s">
        <v>234</v>
      </c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  <c r="AG280" s="5"/>
      <c r="AH280" s="5"/>
      <c r="AI280" s="5"/>
      <c r="AJ280" s="5"/>
      <c r="AK280" s="5"/>
      <c r="AL280" s="5"/>
      <c r="AM280" s="5"/>
      <c r="AN280" s="5"/>
      <c r="AO280" s="5"/>
      <c r="AP280" s="5"/>
      <c r="AQ280" s="5"/>
      <c r="AR280" s="5"/>
      <c r="AS280" s="5"/>
      <c r="AT280" s="5"/>
      <c r="AU280" s="5"/>
      <c r="AV280" s="5"/>
      <c r="AW280" s="5"/>
      <c r="AX280" s="5"/>
      <c r="AY280" s="5"/>
      <c r="AZ280" s="5"/>
      <c r="BA280" s="5"/>
      <c r="BB280" s="5"/>
      <c r="BC280" s="5"/>
      <c r="BD280" s="5"/>
      <c r="BE280" s="4"/>
      <c r="BF280" s="4"/>
      <c r="BG280" s="4"/>
      <c r="BH280" s="4"/>
      <c r="BI280" s="4"/>
      <c r="BJ280" s="4"/>
    </row>
    <row r="281">
      <c r="A281" s="5" t="s">
        <v>80</v>
      </c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  <c r="AG281" s="5"/>
      <c r="AH281" s="5"/>
      <c r="AI281" s="5"/>
      <c r="AJ281" s="5"/>
      <c r="AK281" s="5"/>
      <c r="AL281" s="5"/>
      <c r="AM281" s="5"/>
      <c r="AN281" s="5"/>
      <c r="AO281" s="5"/>
      <c r="AP281" s="5"/>
      <c r="AQ281" s="5"/>
      <c r="AR281" s="5"/>
      <c r="AS281" s="5"/>
      <c r="AT281" s="5"/>
      <c r="AU281" s="5"/>
      <c r="AV281" s="5"/>
      <c r="AW281" s="5"/>
      <c r="AX281" s="5"/>
      <c r="AY281" s="5"/>
      <c r="AZ281" s="5"/>
      <c r="BA281" s="5"/>
      <c r="BB281" s="5"/>
      <c r="BC281" s="5"/>
      <c r="BD281" s="5"/>
      <c r="BE281" s="4"/>
      <c r="BF281" s="4"/>
      <c r="BG281" s="4"/>
      <c r="BH281" s="4"/>
      <c r="BI281" s="4"/>
      <c r="BJ281" s="4"/>
    </row>
    <row r="282">
      <c r="A282" s="5" t="s">
        <v>235</v>
      </c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  <c r="AG282" s="5"/>
      <c r="AH282" s="5"/>
      <c r="AI282" s="5"/>
      <c r="AJ282" s="5"/>
      <c r="AK282" s="5"/>
      <c r="AL282" s="5"/>
      <c r="AM282" s="5"/>
      <c r="AN282" s="5"/>
      <c r="AO282" s="5"/>
      <c r="AP282" s="5"/>
      <c r="AQ282" s="5"/>
      <c r="AR282" s="5"/>
      <c r="AS282" s="5"/>
      <c r="AT282" s="5"/>
      <c r="AU282" s="5"/>
      <c r="AV282" s="5"/>
      <c r="AW282" s="5"/>
      <c r="AX282" s="5"/>
      <c r="AY282" s="5"/>
      <c r="AZ282" s="5"/>
      <c r="BA282" s="5"/>
      <c r="BB282" s="5"/>
      <c r="BC282" s="5"/>
      <c r="BD282" s="5"/>
      <c r="BE282" s="4"/>
      <c r="BF282" s="4"/>
      <c r="BG282" s="4"/>
      <c r="BH282" s="4"/>
      <c r="BI282" s="4"/>
      <c r="BJ282" s="4"/>
    </row>
    <row r="283">
      <c r="A283" s="5" t="s">
        <v>236</v>
      </c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  <c r="AG283" s="5"/>
      <c r="AH283" s="5"/>
      <c r="AI283" s="5"/>
      <c r="AJ283" s="5"/>
      <c r="AK283" s="5"/>
      <c r="AL283" s="5"/>
      <c r="AM283" s="5"/>
      <c r="AN283" s="5"/>
      <c r="AO283" s="5"/>
      <c r="AP283" s="5"/>
      <c r="AQ283" s="5"/>
      <c r="AR283" s="5"/>
      <c r="AS283" s="5"/>
      <c r="AT283" s="5"/>
      <c r="AU283" s="5"/>
      <c r="AV283" s="5"/>
      <c r="AW283" s="5"/>
      <c r="AX283" s="5"/>
      <c r="AY283" s="5"/>
      <c r="AZ283" s="5"/>
      <c r="BA283" s="5"/>
      <c r="BB283" s="5"/>
      <c r="BC283" s="5"/>
      <c r="BD283" s="5"/>
      <c r="BE283" s="4"/>
      <c r="BF283" s="4"/>
      <c r="BG283" s="4"/>
      <c r="BH283" s="4"/>
      <c r="BI283" s="4"/>
      <c r="BJ283" s="4"/>
    </row>
    <row r="284">
      <c r="A284" s="5" t="s">
        <v>87</v>
      </c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  <c r="AG284" s="5"/>
      <c r="AH284" s="5"/>
      <c r="AI284" s="5"/>
      <c r="AJ284" s="5"/>
      <c r="AK284" s="5"/>
      <c r="AL284" s="5"/>
      <c r="AM284" s="5"/>
      <c r="AN284" s="5"/>
      <c r="AO284" s="5"/>
      <c r="AP284" s="5"/>
      <c r="AQ284" s="5"/>
      <c r="AR284" s="5"/>
      <c r="AS284" s="5"/>
      <c r="AT284" s="5"/>
      <c r="AU284" s="5"/>
      <c r="AV284" s="5"/>
      <c r="AW284" s="5"/>
      <c r="AX284" s="5"/>
      <c r="AY284" s="5"/>
      <c r="AZ284" s="5"/>
      <c r="BA284" s="5"/>
      <c r="BB284" s="5"/>
      <c r="BC284" s="5"/>
      <c r="BD284" s="5"/>
      <c r="BE284" s="4"/>
      <c r="BF284" s="4"/>
      <c r="BG284" s="4"/>
      <c r="BH284" s="4"/>
      <c r="BI284" s="4"/>
      <c r="BJ284" s="4"/>
    </row>
    <row r="285">
      <c r="A285" s="5" t="s">
        <v>237</v>
      </c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  <c r="AG285" s="5"/>
      <c r="AH285" s="5"/>
      <c r="AI285" s="5"/>
      <c r="AJ285" s="5"/>
      <c r="AK285" s="5"/>
      <c r="AL285" s="5"/>
      <c r="AM285" s="5"/>
      <c r="AN285" s="5"/>
      <c r="AO285" s="5"/>
      <c r="AP285" s="5"/>
      <c r="AQ285" s="5"/>
      <c r="AR285" s="5"/>
      <c r="AS285" s="5"/>
      <c r="AT285" s="5"/>
      <c r="AU285" s="5"/>
      <c r="AV285" s="5"/>
      <c r="AW285" s="5"/>
      <c r="AX285" s="5"/>
      <c r="AY285" s="5"/>
      <c r="AZ285" s="5"/>
      <c r="BA285" s="5"/>
      <c r="BB285" s="5"/>
      <c r="BC285" s="5"/>
      <c r="BD285" s="5"/>
      <c r="BE285" s="4"/>
      <c r="BF285" s="4"/>
      <c r="BG285" s="4"/>
      <c r="BH285" s="4"/>
      <c r="BI285" s="4"/>
      <c r="BJ285" s="4"/>
    </row>
    <row r="286">
      <c r="A286" s="5" t="s">
        <v>238</v>
      </c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  <c r="AG286" s="5"/>
      <c r="AH286" s="5"/>
      <c r="AI286" s="5"/>
      <c r="AJ286" s="5"/>
      <c r="AK286" s="5"/>
      <c r="AL286" s="5"/>
      <c r="AM286" s="5"/>
      <c r="AN286" s="5"/>
      <c r="AO286" s="5"/>
      <c r="AP286" s="5"/>
      <c r="AQ286" s="5"/>
      <c r="AR286" s="5"/>
      <c r="AS286" s="5"/>
      <c r="AT286" s="5"/>
      <c r="AU286" s="5"/>
      <c r="AV286" s="5"/>
      <c r="AW286" s="5"/>
      <c r="AX286" s="5"/>
      <c r="AY286" s="5"/>
      <c r="AZ286" s="5"/>
      <c r="BA286" s="5"/>
      <c r="BB286" s="5"/>
      <c r="BC286" s="5"/>
      <c r="BD286" s="5"/>
      <c r="BE286" s="4"/>
      <c r="BF286" s="4"/>
      <c r="BG286" s="4"/>
      <c r="BH286" s="4"/>
      <c r="BI286" s="4"/>
      <c r="BJ286" s="4"/>
    </row>
    <row r="287">
      <c r="A287" s="5" t="s">
        <v>89</v>
      </c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  <c r="AG287" s="5"/>
      <c r="AH287" s="5"/>
      <c r="AI287" s="5"/>
      <c r="AJ287" s="5"/>
      <c r="AK287" s="5"/>
      <c r="AL287" s="5"/>
      <c r="AM287" s="5"/>
      <c r="AN287" s="5"/>
      <c r="AO287" s="5"/>
      <c r="AP287" s="5"/>
      <c r="AQ287" s="5"/>
      <c r="AR287" s="5"/>
      <c r="AS287" s="5"/>
      <c r="AT287" s="5"/>
      <c r="AU287" s="5"/>
      <c r="AV287" s="5"/>
      <c r="AW287" s="5"/>
      <c r="AX287" s="5"/>
      <c r="AY287" s="5"/>
      <c r="AZ287" s="5"/>
      <c r="BA287" s="5"/>
      <c r="BB287" s="5"/>
      <c r="BC287" s="5"/>
      <c r="BD287" s="5"/>
      <c r="BE287" s="4"/>
      <c r="BF287" s="4"/>
      <c r="BG287" s="4"/>
      <c r="BH287" s="4"/>
      <c r="BI287" s="4"/>
      <c r="BJ287" s="4"/>
    </row>
    <row r="288">
      <c r="A288" s="5" t="s">
        <v>239</v>
      </c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  <c r="AG288" s="5"/>
      <c r="AH288" s="5"/>
      <c r="AI288" s="5"/>
      <c r="AJ288" s="5"/>
      <c r="AK288" s="5"/>
      <c r="AL288" s="5"/>
      <c r="AM288" s="5"/>
      <c r="AN288" s="5"/>
      <c r="AO288" s="5"/>
      <c r="AP288" s="5"/>
      <c r="AQ288" s="5"/>
      <c r="AR288" s="5"/>
      <c r="AS288" s="5"/>
      <c r="AT288" s="5"/>
      <c r="AU288" s="5"/>
      <c r="AV288" s="5"/>
      <c r="AW288" s="5"/>
      <c r="AX288" s="5"/>
      <c r="AY288" s="5"/>
      <c r="AZ288" s="5"/>
      <c r="BA288" s="5"/>
      <c r="BB288" s="5"/>
      <c r="BC288" s="5"/>
      <c r="BD288" s="5"/>
      <c r="BE288" s="4"/>
      <c r="BF288" s="4"/>
      <c r="BG288" s="4"/>
      <c r="BH288" s="4"/>
      <c r="BI288" s="4"/>
      <c r="BJ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  <c r="AG289" s="4"/>
      <c r="AH289" s="4"/>
      <c r="AI289" s="4"/>
      <c r="AJ289" s="4"/>
      <c r="AK289" s="4"/>
      <c r="AL289" s="4"/>
      <c r="AM289" s="4"/>
      <c r="AN289" s="4"/>
      <c r="AO289" s="4"/>
      <c r="AP289" s="4"/>
      <c r="AQ289" s="4"/>
      <c r="AR289" s="4"/>
      <c r="AS289" s="4"/>
      <c r="AT289" s="4"/>
      <c r="AU289" s="4"/>
      <c r="AV289" s="4"/>
      <c r="AW289" s="4"/>
      <c r="AX289" s="4"/>
      <c r="AY289" s="4"/>
      <c r="AZ289" s="4"/>
      <c r="BA289" s="4"/>
      <c r="BB289" s="4"/>
      <c r="BC289" s="4"/>
      <c r="BD289" s="4"/>
      <c r="BE289" s="4"/>
      <c r="BF289" s="4"/>
      <c r="BG289" s="4"/>
      <c r="BH289" s="4"/>
      <c r="BI289" s="4"/>
      <c r="BJ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  <c r="AG290" s="4"/>
      <c r="AH290" s="4"/>
      <c r="AI290" s="4"/>
      <c r="AJ290" s="4"/>
      <c r="AK290" s="4"/>
      <c r="AL290" s="4"/>
      <c r="AM290" s="4"/>
      <c r="AN290" s="4"/>
      <c r="AO290" s="4"/>
      <c r="AP290" s="4"/>
      <c r="AQ290" s="4"/>
      <c r="AR290" s="4"/>
      <c r="AS290" s="4"/>
      <c r="AT290" s="4"/>
      <c r="AU290" s="4"/>
      <c r="AV290" s="4"/>
      <c r="AW290" s="4"/>
      <c r="AX290" s="4"/>
      <c r="AY290" s="4"/>
      <c r="AZ290" s="4"/>
      <c r="BA290" s="4"/>
      <c r="BB290" s="4"/>
      <c r="BC290" s="4"/>
      <c r="BD290" s="4"/>
      <c r="BE290" s="4"/>
      <c r="BF290" s="4"/>
      <c r="BG290" s="4"/>
      <c r="BH290" s="4"/>
      <c r="BI290" s="4"/>
      <c r="BJ290" s="4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 t="s">
        <v>240</v>
      </c>
      <c r="B1" s="3" t="s">
        <v>241</v>
      </c>
      <c r="C1" s="3" t="s">
        <v>242</v>
      </c>
      <c r="D1" s="3" t="s">
        <v>243</v>
      </c>
      <c r="E1" s="3" t="s">
        <v>244</v>
      </c>
      <c r="F1" s="3" t="s">
        <v>245</v>
      </c>
      <c r="G1" s="3" t="s">
        <v>246</v>
      </c>
    </row>
    <row r="2">
      <c r="A2" s="3"/>
      <c r="B2" s="3"/>
      <c r="C2" s="3"/>
      <c r="D2" s="3"/>
    </row>
    <row r="3">
      <c r="A3" s="3"/>
      <c r="B3" s="3" t="s">
        <v>93</v>
      </c>
      <c r="C3" s="3" t="s">
        <v>229</v>
      </c>
      <c r="D3" s="3" t="s">
        <v>247</v>
      </c>
    </row>
    <row r="4">
      <c r="A4" s="3" t="s">
        <v>94</v>
      </c>
      <c r="B4" s="3">
        <v>1.09033245E8</v>
      </c>
      <c r="C4" s="3">
        <v>1.08667043E8</v>
      </c>
      <c r="D4" s="3">
        <v>2.6393906E7</v>
      </c>
    </row>
    <row r="5">
      <c r="A5" s="3" t="s">
        <v>95</v>
      </c>
      <c r="B5" s="3">
        <v>1.3484462E7</v>
      </c>
      <c r="C5" s="3">
        <v>1.3403551E7</v>
      </c>
      <c r="D5" s="3">
        <v>3499652.0</v>
      </c>
    </row>
    <row r="6">
      <c r="A6" s="3" t="s">
        <v>96</v>
      </c>
      <c r="B6" s="3">
        <v>1846513.0</v>
      </c>
      <c r="C6" s="3">
        <v>1837785.0</v>
      </c>
      <c r="D6" s="3">
        <v>486293.0</v>
      </c>
    </row>
    <row r="7">
      <c r="A7" s="3" t="s">
        <v>97</v>
      </c>
      <c r="B7" s="3">
        <v>425758.0</v>
      </c>
      <c r="C7" s="3">
        <v>419333.0</v>
      </c>
      <c r="D7" s="3">
        <v>116954.0</v>
      </c>
    </row>
    <row r="8">
      <c r="A8" s="3" t="s">
        <v>98</v>
      </c>
      <c r="B8" s="3">
        <v>456059.0</v>
      </c>
      <c r="C8" s="3">
        <v>452961.0</v>
      </c>
      <c r="D8" s="3">
        <v>104415.0</v>
      </c>
    </row>
    <row r="9">
      <c r="A9" s="3" t="s">
        <v>99</v>
      </c>
      <c r="B9" s="3">
        <v>803159.0</v>
      </c>
      <c r="C9" s="3">
        <v>801439.0</v>
      </c>
      <c r="D9" s="3">
        <v>212895.0</v>
      </c>
    </row>
    <row r="10">
      <c r="A10" s="3" t="s">
        <v>100</v>
      </c>
      <c r="B10" s="3">
        <v>2960048.0</v>
      </c>
      <c r="C10" s="3">
        <v>2950493.0</v>
      </c>
      <c r="D10" s="3">
        <v>738724.0</v>
      </c>
    </row>
    <row r="11">
      <c r="A11" s="3" t="s">
        <v>101</v>
      </c>
      <c r="B11" s="3">
        <v>126347.0</v>
      </c>
      <c r="C11" s="3">
        <v>124699.0</v>
      </c>
      <c r="D11" s="3">
        <v>31519.0</v>
      </c>
    </row>
    <row r="12">
      <c r="A12" s="3" t="s">
        <v>102</v>
      </c>
      <c r="B12" s="3">
        <v>1661584.0</v>
      </c>
      <c r="C12" s="3">
        <v>1659025.0</v>
      </c>
      <c r="D12" s="3">
        <v>404252.0</v>
      </c>
    </row>
    <row r="13">
      <c r="A13" s="3" t="s">
        <v>103</v>
      </c>
      <c r="B13" s="3">
        <v>380522.0</v>
      </c>
      <c r="C13" s="3">
        <v>379463.0</v>
      </c>
      <c r="D13" s="3">
        <v>94241.0</v>
      </c>
    </row>
    <row r="14">
      <c r="A14" s="3" t="s">
        <v>104</v>
      </c>
      <c r="B14" s="3">
        <v>247543.0</v>
      </c>
      <c r="C14" s="3">
        <v>246743.0</v>
      </c>
      <c r="D14" s="3">
        <v>63167.0</v>
      </c>
    </row>
    <row r="15">
      <c r="A15" s="3" t="s">
        <v>105</v>
      </c>
      <c r="B15" s="3">
        <v>714978.0</v>
      </c>
      <c r="C15" s="3">
        <v>713181.0</v>
      </c>
      <c r="D15" s="3">
        <v>193025.0</v>
      </c>
    </row>
    <row r="16">
      <c r="A16" s="3" t="s">
        <v>106</v>
      </c>
      <c r="B16" s="3">
        <v>606293.0</v>
      </c>
      <c r="C16" s="3">
        <v>604283.0</v>
      </c>
      <c r="D16" s="3">
        <v>156899.0</v>
      </c>
    </row>
    <row r="17">
      <c r="A17" s="3" t="s">
        <v>107</v>
      </c>
      <c r="B17" s="3">
        <v>629616.0</v>
      </c>
      <c r="C17" s="3">
        <v>624032.0</v>
      </c>
      <c r="D17" s="3">
        <v>186381.0</v>
      </c>
    </row>
    <row r="18">
      <c r="A18" s="3" t="s">
        <v>108</v>
      </c>
      <c r="B18" s="3">
        <v>543445.0</v>
      </c>
      <c r="C18" s="3">
        <v>519112.0</v>
      </c>
      <c r="D18" s="3">
        <v>138331.0</v>
      </c>
    </row>
    <row r="19">
      <c r="A19" s="3" t="s">
        <v>109</v>
      </c>
      <c r="B19" s="3">
        <v>689992.0</v>
      </c>
      <c r="C19" s="3">
        <v>686313.0</v>
      </c>
      <c r="D19" s="3">
        <v>182216.0</v>
      </c>
    </row>
    <row r="20">
      <c r="A20" s="3" t="s">
        <v>110</v>
      </c>
      <c r="B20" s="3">
        <v>440656.0</v>
      </c>
      <c r="C20" s="3">
        <v>437003.0</v>
      </c>
      <c r="D20" s="3">
        <v>127629.0</v>
      </c>
    </row>
    <row r="21">
      <c r="A21" s="3" t="s">
        <v>111</v>
      </c>
      <c r="B21" s="3">
        <v>886722.0</v>
      </c>
      <c r="C21" s="3">
        <v>882622.0</v>
      </c>
      <c r="D21" s="3">
        <v>246873.0</v>
      </c>
    </row>
    <row r="22">
      <c r="A22" s="3" t="s">
        <v>112</v>
      </c>
      <c r="B22" s="3">
        <v>65227.0</v>
      </c>
      <c r="C22" s="3">
        <v>65064.0</v>
      </c>
      <c r="D22" s="3">
        <v>15838.0</v>
      </c>
    </row>
    <row r="23">
      <c r="A23" s="3" t="s">
        <v>113</v>
      </c>
      <c r="B23" s="3">
        <v>1797660.0</v>
      </c>
      <c r="C23" s="3">
        <v>1791121.0</v>
      </c>
      <c r="D23" s="3">
        <v>439166.0</v>
      </c>
    </row>
    <row r="24">
      <c r="A24" s="3" t="s">
        <v>114</v>
      </c>
      <c r="B24" s="3">
        <v>250985.0</v>
      </c>
      <c r="C24" s="3">
        <v>250309.0</v>
      </c>
      <c r="D24" s="3">
        <v>58956.0</v>
      </c>
    </row>
    <row r="25">
      <c r="A25" s="3" t="s">
        <v>115</v>
      </c>
      <c r="B25" s="3">
        <v>124366.0</v>
      </c>
      <c r="C25" s="3">
        <v>123937.0</v>
      </c>
      <c r="D25" s="3">
        <v>28862.0</v>
      </c>
    </row>
    <row r="26">
      <c r="A26" s="3" t="s">
        <v>116</v>
      </c>
      <c r="B26" s="3">
        <v>460683.0</v>
      </c>
      <c r="C26" s="3">
        <v>459468.0</v>
      </c>
      <c r="D26" s="3">
        <v>116692.0</v>
      </c>
    </row>
    <row r="27">
      <c r="A27" s="3" t="s">
        <v>117</v>
      </c>
      <c r="B27" s="3">
        <v>207498.0</v>
      </c>
      <c r="C27" s="3">
        <v>207130.0</v>
      </c>
      <c r="D27" s="3">
        <v>48756.0</v>
      </c>
    </row>
    <row r="28">
      <c r="A28" s="3" t="s">
        <v>118</v>
      </c>
      <c r="B28" s="3">
        <v>229570.0</v>
      </c>
      <c r="C28" s="3">
        <v>229328.0</v>
      </c>
      <c r="D28" s="3">
        <v>48079.0</v>
      </c>
    </row>
    <row r="29">
      <c r="A29" s="3" t="s">
        <v>119</v>
      </c>
      <c r="B29" s="3">
        <v>158200.0</v>
      </c>
      <c r="C29" s="3">
        <v>157798.0</v>
      </c>
      <c r="D29" s="3">
        <v>37601.0</v>
      </c>
    </row>
    <row r="30">
      <c r="A30" s="3" t="s">
        <v>120</v>
      </c>
      <c r="B30" s="3">
        <v>366358.0</v>
      </c>
      <c r="C30" s="3">
        <v>363151.0</v>
      </c>
      <c r="D30" s="3">
        <v>100220.0</v>
      </c>
    </row>
    <row r="31">
      <c r="A31" s="3" t="s">
        <v>121</v>
      </c>
      <c r="B31" s="3">
        <v>5301139.0</v>
      </c>
      <c r="C31" s="3">
        <v>5292297.0</v>
      </c>
      <c r="D31" s="3">
        <v>1306256.0</v>
      </c>
    </row>
    <row r="32">
      <c r="A32" s="3" t="s">
        <v>122</v>
      </c>
      <c r="B32" s="3">
        <v>609588.0</v>
      </c>
      <c r="C32" s="3">
        <v>608508.0</v>
      </c>
      <c r="D32" s="3">
        <v>152972.0</v>
      </c>
    </row>
    <row r="33">
      <c r="A33" s="3" t="s">
        <v>123</v>
      </c>
      <c r="B33" s="3">
        <v>706009.0</v>
      </c>
      <c r="C33" s="3">
        <v>704218.0</v>
      </c>
      <c r="D33" s="3">
        <v>172048.0</v>
      </c>
    </row>
    <row r="34">
      <c r="A34" s="3" t="s">
        <v>124</v>
      </c>
      <c r="B34" s="3">
        <v>822352.0</v>
      </c>
      <c r="C34" s="3">
        <v>820343.0</v>
      </c>
      <c r="D34" s="3">
        <v>205034.0</v>
      </c>
    </row>
    <row r="35">
      <c r="A35" s="3" t="s">
        <v>125</v>
      </c>
      <c r="B35" s="3">
        <v>3163190.0</v>
      </c>
      <c r="C35" s="3">
        <v>3159228.0</v>
      </c>
      <c r="D35" s="3">
        <v>776202.0</v>
      </c>
    </row>
    <row r="36">
      <c r="A36" s="3" t="s">
        <v>126</v>
      </c>
      <c r="B36" s="3">
        <v>3685744.0</v>
      </c>
      <c r="C36" s="3">
        <v>3679748.0</v>
      </c>
      <c r="D36" s="3">
        <v>907472.0</v>
      </c>
    </row>
    <row r="37">
      <c r="A37" s="3" t="s">
        <v>127</v>
      </c>
      <c r="B37" s="3">
        <v>18831.0</v>
      </c>
      <c r="C37" s="3">
        <v>18593.0</v>
      </c>
      <c r="D37" s="3">
        <v>5547.0</v>
      </c>
    </row>
    <row r="38">
      <c r="A38" s="3" t="s">
        <v>128</v>
      </c>
      <c r="B38" s="3">
        <v>1268603.0</v>
      </c>
      <c r="C38" s="3">
        <v>1265540.0</v>
      </c>
      <c r="D38" s="3">
        <v>301528.0</v>
      </c>
    </row>
    <row r="39">
      <c r="A39" s="3" t="s">
        <v>129</v>
      </c>
      <c r="B39" s="3">
        <v>1697050.0</v>
      </c>
      <c r="C39" s="3">
        <v>1695539.0</v>
      </c>
      <c r="D39" s="3">
        <v>422670.0</v>
      </c>
    </row>
    <row r="40">
      <c r="A40" s="3" t="s">
        <v>130</v>
      </c>
      <c r="B40" s="3">
        <v>497432.0</v>
      </c>
      <c r="C40" s="3">
        <v>496546.0</v>
      </c>
      <c r="D40" s="3">
        <v>128181.0</v>
      </c>
    </row>
    <row r="41">
      <c r="A41" s="3" t="s">
        <v>131</v>
      </c>
      <c r="B41" s="3">
        <v>203828.0</v>
      </c>
      <c r="C41" s="3">
        <v>203530.0</v>
      </c>
      <c r="D41" s="3">
        <v>49546.0</v>
      </c>
    </row>
    <row r="42">
      <c r="A42" s="3" t="s">
        <v>132</v>
      </c>
      <c r="B42" s="3">
        <v>1.2422172E7</v>
      </c>
      <c r="C42" s="3">
        <v>1.2387811E7</v>
      </c>
      <c r="D42" s="3">
        <v>3040488.0</v>
      </c>
    </row>
    <row r="43">
      <c r="A43" s="3" t="s">
        <v>133</v>
      </c>
      <c r="B43" s="3">
        <v>235750.0</v>
      </c>
      <c r="C43" s="3">
        <v>234991.0</v>
      </c>
      <c r="D43" s="3">
        <v>57037.0</v>
      </c>
    </row>
    <row r="44">
      <c r="A44" s="3" t="s">
        <v>134</v>
      </c>
      <c r="B44" s="3">
        <v>853373.0</v>
      </c>
      <c r="C44" s="3">
        <v>849575.0</v>
      </c>
      <c r="D44" s="3">
        <v>208941.0</v>
      </c>
    </row>
    <row r="45">
      <c r="A45" s="3" t="s">
        <v>135</v>
      </c>
      <c r="B45" s="3">
        <v>3708890.0</v>
      </c>
      <c r="C45" s="3">
        <v>3696937.0</v>
      </c>
      <c r="D45" s="3">
        <v>920608.0</v>
      </c>
    </row>
    <row r="46">
      <c r="A46" s="3" t="s">
        <v>136</v>
      </c>
      <c r="B46" s="3">
        <v>2310134.0</v>
      </c>
      <c r="C46" s="3">
        <v>2306751.0</v>
      </c>
      <c r="D46" s="3">
        <v>572583.0</v>
      </c>
    </row>
    <row r="47">
      <c r="A47" s="3" t="s">
        <v>137</v>
      </c>
      <c r="B47" s="3">
        <v>2437709.0</v>
      </c>
      <c r="C47" s="3">
        <v>2433144.0</v>
      </c>
      <c r="D47" s="3">
        <v>573920.0</v>
      </c>
    </row>
    <row r="48">
      <c r="A48" s="3" t="s">
        <v>138</v>
      </c>
      <c r="B48" s="3">
        <v>1503456.0</v>
      </c>
      <c r="C48" s="3">
        <v>1499064.0</v>
      </c>
      <c r="D48" s="3">
        <v>359561.0</v>
      </c>
    </row>
    <row r="49">
      <c r="A49" s="3" t="s">
        <v>139</v>
      </c>
      <c r="B49" s="3">
        <v>649615.0</v>
      </c>
      <c r="C49" s="3">
        <v>647545.0</v>
      </c>
      <c r="D49" s="3">
        <v>165045.0</v>
      </c>
    </row>
    <row r="50">
      <c r="A50" s="3" t="s">
        <v>140</v>
      </c>
      <c r="B50" s="3">
        <v>462928.0</v>
      </c>
      <c r="C50" s="3">
        <v>461165.0</v>
      </c>
      <c r="D50" s="3">
        <v>116343.0</v>
      </c>
    </row>
    <row r="51">
      <c r="A51" s="3" t="s">
        <v>141</v>
      </c>
      <c r="B51" s="3">
        <v>260317.0</v>
      </c>
      <c r="C51" s="3">
        <v>258639.0</v>
      </c>
      <c r="D51" s="3">
        <v>66450.0</v>
      </c>
    </row>
    <row r="52">
      <c r="A52" s="3" t="s">
        <v>142</v>
      </c>
      <c r="B52" s="3">
        <v>1.6195042E7</v>
      </c>
      <c r="C52" s="3">
        <v>1.613977E7</v>
      </c>
      <c r="D52" s="3">
        <v>4062720.0</v>
      </c>
    </row>
    <row r="53">
      <c r="A53" s="3" t="s">
        <v>143</v>
      </c>
      <c r="B53" s="3">
        <v>2908494.0</v>
      </c>
      <c r="C53" s="3">
        <v>2902855.0</v>
      </c>
      <c r="D53" s="3">
        <v>716192.0</v>
      </c>
    </row>
    <row r="54">
      <c r="A54" s="3" t="s">
        <v>144</v>
      </c>
      <c r="B54" s="3">
        <v>4344829.0</v>
      </c>
      <c r="C54" s="3">
        <v>4318663.0</v>
      </c>
      <c r="D54" s="3">
        <v>1096120.0</v>
      </c>
    </row>
    <row r="55">
      <c r="A55" s="3" t="s">
        <v>145</v>
      </c>
      <c r="B55" s="3">
        <v>3382193.0</v>
      </c>
      <c r="C55" s="3">
        <v>3373136.0</v>
      </c>
      <c r="D55" s="3">
        <v>915398.0</v>
      </c>
    </row>
    <row r="56">
      <c r="A56" s="3" t="s">
        <v>146</v>
      </c>
      <c r="B56" s="3">
        <v>1950459.0</v>
      </c>
      <c r="C56" s="3">
        <v>1945444.0</v>
      </c>
      <c r="D56" s="3">
        <v>483703.0</v>
      </c>
    </row>
    <row r="57">
      <c r="A57" s="3" t="s">
        <v>147</v>
      </c>
      <c r="B57" s="3">
        <v>3330143.0</v>
      </c>
      <c r="C57" s="3">
        <v>3321325.0</v>
      </c>
      <c r="D57" s="3">
        <v>784402.0</v>
      </c>
    </row>
    <row r="58">
      <c r="A58" s="3" t="s">
        <v>148</v>
      </c>
      <c r="B58" s="3">
        <v>278924.0</v>
      </c>
      <c r="C58" s="3">
        <v>278347.0</v>
      </c>
      <c r="D58" s="3">
        <v>66905.0</v>
      </c>
    </row>
    <row r="59">
      <c r="A59" s="3" t="s">
        <v>149</v>
      </c>
      <c r="B59" s="3">
        <v>3228558.0</v>
      </c>
      <c r="C59" s="3">
        <v>3212287.0</v>
      </c>
      <c r="D59" s="3">
        <v>792875.0</v>
      </c>
    </row>
    <row r="60">
      <c r="A60" s="3" t="s">
        <v>150</v>
      </c>
      <c r="B60" s="3">
        <v>239207.0</v>
      </c>
      <c r="C60" s="3">
        <v>238830.0</v>
      </c>
      <c r="D60" s="3">
        <v>60557.0</v>
      </c>
    </row>
    <row r="61">
      <c r="A61" s="3" t="s">
        <v>151</v>
      </c>
      <c r="B61" s="3">
        <v>525354.0</v>
      </c>
      <c r="C61" s="3">
        <v>521444.0</v>
      </c>
      <c r="D61" s="3">
        <v>126633.0</v>
      </c>
    </row>
    <row r="62">
      <c r="A62" s="3" t="s">
        <v>152</v>
      </c>
      <c r="B62" s="3">
        <v>908339.0</v>
      </c>
      <c r="C62" s="3">
        <v>906661.0</v>
      </c>
      <c r="D62" s="3">
        <v>215076.0</v>
      </c>
    </row>
    <row r="63">
      <c r="A63" s="3" t="s">
        <v>153</v>
      </c>
      <c r="B63" s="3">
        <v>939594.0</v>
      </c>
      <c r="C63" s="3">
        <v>934669.0</v>
      </c>
      <c r="D63" s="3">
        <v>230836.0</v>
      </c>
    </row>
    <row r="64">
      <c r="A64" s="3" t="s">
        <v>154</v>
      </c>
      <c r="B64" s="3">
        <v>308985.0</v>
      </c>
      <c r="C64" s="3">
        <v>308072.0</v>
      </c>
      <c r="D64" s="3">
        <v>77639.0</v>
      </c>
    </row>
    <row r="65">
      <c r="A65" s="3" t="s">
        <v>155</v>
      </c>
      <c r="B65" s="3">
        <v>307079.0</v>
      </c>
      <c r="C65" s="3">
        <v>302611.0</v>
      </c>
      <c r="D65" s="3">
        <v>82134.0</v>
      </c>
    </row>
    <row r="66">
      <c r="A66" s="3" t="s">
        <v>156</v>
      </c>
      <c r="B66" s="3">
        <v>6082165.0</v>
      </c>
      <c r="C66" s="3">
        <v>6067290.0</v>
      </c>
      <c r="D66" s="3">
        <v>1365044.0</v>
      </c>
    </row>
    <row r="67">
      <c r="A67" s="3" t="s">
        <v>157</v>
      </c>
      <c r="B67" s="3">
        <v>1374768.0</v>
      </c>
      <c r="C67" s="3">
        <v>1372550.0</v>
      </c>
      <c r="D67" s="3">
        <v>311448.0</v>
      </c>
    </row>
    <row r="68">
      <c r="A68" s="3" t="s">
        <v>158</v>
      </c>
      <c r="B68" s="3">
        <v>629699.0</v>
      </c>
      <c r="C68" s="3">
        <v>628807.0</v>
      </c>
      <c r="D68" s="3">
        <v>144155.0</v>
      </c>
    </row>
    <row r="69">
      <c r="A69" s="3" t="s">
        <v>159</v>
      </c>
      <c r="B69" s="3">
        <v>2068244.0</v>
      </c>
      <c r="C69" s="3">
        <v>2062277.0</v>
      </c>
      <c r="D69" s="3">
        <v>455276.0</v>
      </c>
    </row>
    <row r="70">
      <c r="A70" s="3" t="s">
        <v>160</v>
      </c>
      <c r="B70" s="3">
        <v>271879.0</v>
      </c>
      <c r="C70" s="3">
        <v>270775.0</v>
      </c>
      <c r="D70" s="3">
        <v>60352.0</v>
      </c>
    </row>
    <row r="71">
      <c r="A71" s="3" t="s">
        <v>161</v>
      </c>
      <c r="B71" s="3">
        <v>908920.0</v>
      </c>
      <c r="C71" s="3">
        <v>906731.0</v>
      </c>
      <c r="D71" s="3">
        <v>206351.0</v>
      </c>
    </row>
    <row r="72">
      <c r="A72" s="3" t="s">
        <v>162</v>
      </c>
      <c r="B72" s="3">
        <v>828655.0</v>
      </c>
      <c r="C72" s="3">
        <v>826150.0</v>
      </c>
      <c r="D72" s="3">
        <v>187462.0</v>
      </c>
    </row>
    <row r="73">
      <c r="A73" s="3" t="s">
        <v>163</v>
      </c>
      <c r="B73" s="3">
        <v>7954723.0</v>
      </c>
      <c r="C73" s="3">
        <v>7935531.0</v>
      </c>
      <c r="D73" s="3">
        <v>1939989.0</v>
      </c>
    </row>
    <row r="74">
      <c r="A74" s="3" t="s">
        <v>164</v>
      </c>
      <c r="B74" s="3">
        <v>615475.0</v>
      </c>
      <c r="C74" s="3">
        <v>612985.0</v>
      </c>
      <c r="D74" s="3">
        <v>151381.0</v>
      </c>
    </row>
    <row r="75">
      <c r="A75" s="3" t="s">
        <v>165</v>
      </c>
      <c r="B75" s="3">
        <v>612974.0</v>
      </c>
      <c r="C75" s="3">
        <v>611478.0</v>
      </c>
      <c r="D75" s="3">
        <v>147696.0</v>
      </c>
    </row>
    <row r="76">
      <c r="A76" s="3" t="s">
        <v>166</v>
      </c>
      <c r="B76" s="3">
        <v>804952.0</v>
      </c>
      <c r="C76" s="3">
        <v>803879.0</v>
      </c>
      <c r="D76" s="3">
        <v>202033.0</v>
      </c>
    </row>
    <row r="77">
      <c r="A77" s="3" t="s">
        <v>167</v>
      </c>
      <c r="B77" s="3">
        <v>187842.0</v>
      </c>
      <c r="C77" s="3">
        <v>187576.0</v>
      </c>
      <c r="D77" s="3">
        <v>47476.0</v>
      </c>
    </row>
    <row r="78">
      <c r="A78" s="3" t="s">
        <v>168</v>
      </c>
      <c r="B78" s="3">
        <v>2051899.0</v>
      </c>
      <c r="C78" s="3">
        <v>2048039.0</v>
      </c>
      <c r="D78" s="3">
        <v>506187.0</v>
      </c>
    </row>
    <row r="79">
      <c r="A79" s="3" t="s">
        <v>169</v>
      </c>
      <c r="B79" s="3">
        <v>2623172.0</v>
      </c>
      <c r="C79" s="3">
        <v>2618672.0</v>
      </c>
      <c r="D79" s="3">
        <v>637967.0</v>
      </c>
    </row>
    <row r="80">
      <c r="A80" s="3" t="s">
        <v>170</v>
      </c>
      <c r="B80" s="3">
        <v>600783.0</v>
      </c>
      <c r="C80" s="3">
        <v>597615.0</v>
      </c>
      <c r="D80" s="3">
        <v>142936.0</v>
      </c>
    </row>
    <row r="81">
      <c r="A81" s="3" t="s">
        <v>171</v>
      </c>
      <c r="B81" s="3">
        <v>457626.0</v>
      </c>
      <c r="C81" s="3">
        <v>455287.0</v>
      </c>
      <c r="D81" s="3">
        <v>104313.0</v>
      </c>
    </row>
    <row r="82">
      <c r="A82" s="3" t="s">
        <v>172</v>
      </c>
      <c r="B82" s="3">
        <v>8081988.0</v>
      </c>
      <c r="C82" s="3">
        <v>8046285.0</v>
      </c>
      <c r="D82" s="3">
        <v>1966588.0</v>
      </c>
    </row>
    <row r="83">
      <c r="A83" s="3" t="s">
        <v>173</v>
      </c>
      <c r="B83" s="3">
        <v>1394329.0</v>
      </c>
      <c r="C83" s="3">
        <v>1390524.0</v>
      </c>
      <c r="D83" s="3">
        <v>322022.0</v>
      </c>
    </row>
    <row r="84">
      <c r="A84" s="3" t="s">
        <v>174</v>
      </c>
      <c r="B84" s="3">
        <v>3325385.0</v>
      </c>
      <c r="C84" s="3">
        <v>3309850.0</v>
      </c>
      <c r="D84" s="3">
        <v>799486.0</v>
      </c>
    </row>
    <row r="85">
      <c r="A85" s="3" t="s">
        <v>175</v>
      </c>
      <c r="B85" s="3">
        <v>1432990.0</v>
      </c>
      <c r="C85" s="3">
        <v>1428548.0</v>
      </c>
      <c r="D85" s="3">
        <v>347961.0</v>
      </c>
    </row>
    <row r="86">
      <c r="A86" s="3" t="s">
        <v>176</v>
      </c>
      <c r="B86" s="3">
        <v>103395.0</v>
      </c>
      <c r="C86" s="3">
        <v>103014.0</v>
      </c>
      <c r="D86" s="3">
        <v>25805.0</v>
      </c>
    </row>
    <row r="87">
      <c r="A87" s="3" t="s">
        <v>177</v>
      </c>
      <c r="B87" s="3">
        <v>964169.0</v>
      </c>
      <c r="C87" s="3">
        <v>958626.0</v>
      </c>
      <c r="D87" s="3">
        <v>238317.0</v>
      </c>
    </row>
    <row r="88">
      <c r="A88" s="3" t="s">
        <v>178</v>
      </c>
      <c r="B88" s="3">
        <v>497604.0</v>
      </c>
      <c r="C88" s="3">
        <v>494672.0</v>
      </c>
      <c r="D88" s="3">
        <v>129652.0</v>
      </c>
    </row>
    <row r="89">
      <c r="A89" s="3" t="s">
        <v>179</v>
      </c>
      <c r="B89" s="3">
        <v>364116.0</v>
      </c>
      <c r="C89" s="3">
        <v>361051.0</v>
      </c>
      <c r="D89" s="3">
        <v>103345.0</v>
      </c>
    </row>
    <row r="90">
      <c r="A90" s="3" t="s">
        <v>180</v>
      </c>
      <c r="B90" s="3">
        <v>4547150.0</v>
      </c>
      <c r="C90" s="3">
        <v>4531512.0</v>
      </c>
      <c r="D90" s="3">
        <v>1082106.0</v>
      </c>
    </row>
    <row r="91">
      <c r="A91" s="3" t="s">
        <v>181</v>
      </c>
      <c r="B91" s="3">
        <v>179312.0</v>
      </c>
      <c r="C91" s="3">
        <v>178715.0</v>
      </c>
      <c r="D91" s="3">
        <v>43053.0</v>
      </c>
    </row>
    <row r="92">
      <c r="A92" s="3" t="s">
        <v>182</v>
      </c>
      <c r="B92" s="3">
        <v>477168.0</v>
      </c>
      <c r="C92" s="3">
        <v>475847.0</v>
      </c>
      <c r="D92" s="3">
        <v>115777.0</v>
      </c>
    </row>
    <row r="93">
      <c r="A93" s="3" t="s">
        <v>183</v>
      </c>
      <c r="B93" s="3">
        <v>1776847.0</v>
      </c>
      <c r="C93" s="3">
        <v>1771011.0</v>
      </c>
      <c r="D93" s="3">
        <v>443470.0</v>
      </c>
    </row>
    <row r="94">
      <c r="A94" s="3" t="s">
        <v>184</v>
      </c>
      <c r="B94" s="3">
        <v>639186.0</v>
      </c>
      <c r="C94" s="3">
        <v>636995.0</v>
      </c>
      <c r="D94" s="3">
        <v>139885.0</v>
      </c>
    </row>
    <row r="95">
      <c r="A95" s="3" t="s">
        <v>185</v>
      </c>
      <c r="B95" s="3">
        <v>793183.0</v>
      </c>
      <c r="C95" s="3">
        <v>791045.0</v>
      </c>
      <c r="D95" s="3">
        <v>181794.0</v>
      </c>
    </row>
    <row r="96">
      <c r="A96" s="3" t="s">
        <v>186</v>
      </c>
      <c r="B96" s="3">
        <v>429573.0</v>
      </c>
      <c r="C96" s="3">
        <v>428484.0</v>
      </c>
      <c r="D96" s="3">
        <v>100876.0</v>
      </c>
    </row>
    <row r="97">
      <c r="A97" s="3" t="s">
        <v>187</v>
      </c>
      <c r="B97" s="3">
        <v>251881.0</v>
      </c>
      <c r="C97" s="3">
        <v>249415.0</v>
      </c>
      <c r="D97" s="3">
        <v>57251.0</v>
      </c>
    </row>
    <row r="98">
      <c r="A98" s="3" t="s">
        <v>188</v>
      </c>
      <c r="B98" s="3">
        <v>3875576.0</v>
      </c>
      <c r="C98" s="3">
        <v>3862588.0</v>
      </c>
      <c r="D98" s="3">
        <v>895899.0</v>
      </c>
    </row>
    <row r="99">
      <c r="A99" s="3" t="s">
        <v>189</v>
      </c>
      <c r="B99" s="3">
        <v>1047455.0</v>
      </c>
      <c r="C99" s="3">
        <v>1046017.0</v>
      </c>
      <c r="D99" s="3">
        <v>247971.0</v>
      </c>
    </row>
    <row r="100">
      <c r="A100" s="3" t="s">
        <v>190</v>
      </c>
      <c r="B100" s="3">
        <v>1050668.0</v>
      </c>
      <c r="C100" s="3">
        <v>1048402.0</v>
      </c>
      <c r="D100" s="3">
        <v>239258.0</v>
      </c>
    </row>
    <row r="101">
      <c r="A101" s="3" t="s">
        <v>191</v>
      </c>
      <c r="B101" s="3">
        <v>669840.0</v>
      </c>
      <c r="C101" s="3">
        <v>668648.0</v>
      </c>
      <c r="D101" s="3">
        <v>154669.0</v>
      </c>
    </row>
    <row r="102">
      <c r="A102" s="3" t="s">
        <v>192</v>
      </c>
      <c r="B102" s="3">
        <v>130379.0</v>
      </c>
      <c r="C102" s="3">
        <v>130130.0</v>
      </c>
      <c r="D102" s="3">
        <v>26649.0</v>
      </c>
    </row>
    <row r="103">
      <c r="A103" s="3" t="s">
        <v>193</v>
      </c>
      <c r="B103" s="3">
        <v>977234.0</v>
      </c>
      <c r="C103" s="3">
        <v>969391.0</v>
      </c>
      <c r="D103" s="3">
        <v>227352.0</v>
      </c>
    </row>
    <row r="104">
      <c r="A104" s="3" t="s">
        <v>194</v>
      </c>
      <c r="B104" s="3">
        <v>5022768.0</v>
      </c>
      <c r="C104" s="3">
        <v>5007798.0</v>
      </c>
      <c r="D104" s="3">
        <v>1197736.0</v>
      </c>
    </row>
    <row r="105">
      <c r="A105" s="3" t="s">
        <v>195</v>
      </c>
      <c r="B105" s="3">
        <v>1541308.0</v>
      </c>
      <c r="C105" s="3">
        <v>1537629.0</v>
      </c>
      <c r="D105" s="3">
        <v>357112.0</v>
      </c>
    </row>
    <row r="106">
      <c r="A106" s="3" t="s">
        <v>196</v>
      </c>
      <c r="B106" s="3">
        <v>92808.0</v>
      </c>
      <c r="C106" s="3">
        <v>92696.0</v>
      </c>
      <c r="D106" s="3">
        <v>22281.0</v>
      </c>
    </row>
    <row r="107">
      <c r="A107" s="3" t="s">
        <v>197</v>
      </c>
      <c r="B107" s="3">
        <v>722902.0</v>
      </c>
      <c r="C107" s="3">
        <v>721716.0</v>
      </c>
      <c r="D107" s="3">
        <v>161458.0</v>
      </c>
    </row>
    <row r="108">
      <c r="A108" s="3" t="s">
        <v>198</v>
      </c>
      <c r="B108" s="3">
        <v>617333.0</v>
      </c>
      <c r="C108" s="3">
        <v>614951.0</v>
      </c>
      <c r="D108" s="3">
        <v>149188.0</v>
      </c>
    </row>
    <row r="109">
      <c r="A109" s="3" t="s">
        <v>199</v>
      </c>
      <c r="B109" s="3">
        <v>956900.0</v>
      </c>
      <c r="C109" s="3">
        <v>954953.0</v>
      </c>
      <c r="D109" s="3">
        <v>230233.0</v>
      </c>
    </row>
    <row r="110">
      <c r="A110" s="3" t="s">
        <v>200</v>
      </c>
      <c r="B110" s="3">
        <v>728402.0</v>
      </c>
      <c r="C110" s="3">
        <v>723671.0</v>
      </c>
      <c r="D110" s="3">
        <v>190225.0</v>
      </c>
    </row>
    <row r="111">
      <c r="A111" s="3" t="s">
        <v>201</v>
      </c>
      <c r="B111" s="3">
        <v>363115.0</v>
      </c>
      <c r="C111" s="3">
        <v>362182.0</v>
      </c>
      <c r="D111" s="3">
        <v>87239.0</v>
      </c>
    </row>
    <row r="112">
      <c r="A112" s="3" t="s">
        <v>202</v>
      </c>
      <c r="B112" s="3">
        <v>5243536.0</v>
      </c>
      <c r="C112" s="3">
        <v>5223802.0</v>
      </c>
      <c r="D112" s="3">
        <v>1337781.0</v>
      </c>
    </row>
    <row r="113">
      <c r="A113" s="3" t="s">
        <v>203</v>
      </c>
      <c r="B113" s="3">
        <v>767547.0</v>
      </c>
      <c r="C113" s="3">
        <v>766299.0</v>
      </c>
      <c r="D113" s="3">
        <v>188918.0</v>
      </c>
    </row>
    <row r="114">
      <c r="A114" s="3" t="s">
        <v>204</v>
      </c>
      <c r="B114" s="3">
        <v>1125057.0</v>
      </c>
      <c r="C114" s="3">
        <v>1115167.0</v>
      </c>
      <c r="D114" s="3">
        <v>271655.0</v>
      </c>
    </row>
    <row r="115">
      <c r="A115" s="3" t="s">
        <v>205</v>
      </c>
      <c r="B115" s="3">
        <v>680481.0</v>
      </c>
      <c r="C115" s="3">
        <v>679457.0</v>
      </c>
      <c r="D115" s="3">
        <v>182681.0</v>
      </c>
    </row>
    <row r="116">
      <c r="A116" s="3" t="s">
        <v>206</v>
      </c>
      <c r="B116" s="3">
        <v>317159.0</v>
      </c>
      <c r="C116" s="3">
        <v>316907.0</v>
      </c>
      <c r="D116" s="3">
        <v>78185.0</v>
      </c>
    </row>
    <row r="117">
      <c r="A117" s="3" t="s">
        <v>207</v>
      </c>
      <c r="B117" s="3">
        <v>576343.0</v>
      </c>
      <c r="C117" s="3">
        <v>574984.0</v>
      </c>
      <c r="D117" s="3">
        <v>140064.0</v>
      </c>
    </row>
    <row r="118">
      <c r="A118" s="3" t="s">
        <v>208</v>
      </c>
      <c r="B118" s="3">
        <v>1776949.0</v>
      </c>
      <c r="C118" s="3">
        <v>1770988.0</v>
      </c>
      <c r="D118" s="3">
        <v>476278.0</v>
      </c>
    </row>
    <row r="119">
      <c r="A119" s="3" t="s">
        <v>209</v>
      </c>
      <c r="B119" s="3">
        <v>4360974.0</v>
      </c>
      <c r="C119" s="3">
        <v>4351773.0</v>
      </c>
      <c r="D119" s="3">
        <v>1065453.0</v>
      </c>
    </row>
    <row r="120">
      <c r="A120" s="3" t="s">
        <v>210</v>
      </c>
      <c r="B120" s="3">
        <v>1275185.0</v>
      </c>
      <c r="C120" s="3">
        <v>1273594.0</v>
      </c>
      <c r="D120" s="3">
        <v>308443.0</v>
      </c>
    </row>
    <row r="121">
      <c r="A121" s="3" t="s">
        <v>211</v>
      </c>
      <c r="B121" s="3">
        <v>558946.0</v>
      </c>
      <c r="C121" s="3">
        <v>558069.0</v>
      </c>
      <c r="D121" s="3">
        <v>133865.0</v>
      </c>
    </row>
    <row r="122">
      <c r="A122" s="3" t="s">
        <v>212</v>
      </c>
      <c r="B122" s="3">
        <v>975476.0</v>
      </c>
      <c r="C122" s="3">
        <v>973146.0</v>
      </c>
      <c r="D122" s="3">
        <v>244987.0</v>
      </c>
    </row>
    <row r="123">
      <c r="A123" s="3" t="s">
        <v>213</v>
      </c>
      <c r="B123" s="3">
        <v>854052.0</v>
      </c>
      <c r="C123" s="3">
        <v>851554.0</v>
      </c>
      <c r="D123" s="3">
        <v>202813.0</v>
      </c>
    </row>
    <row r="124">
      <c r="A124" s="3" t="s">
        <v>214</v>
      </c>
      <c r="B124" s="3">
        <v>697315.0</v>
      </c>
      <c r="C124" s="3">
        <v>695410.0</v>
      </c>
      <c r="D124" s="3">
        <v>175345.0</v>
      </c>
    </row>
    <row r="125">
      <c r="A125" s="3" t="s">
        <v>215</v>
      </c>
      <c r="B125" s="3">
        <v>2804788.0</v>
      </c>
      <c r="C125" s="3">
        <v>2795340.0</v>
      </c>
      <c r="D125" s="3">
        <v>661773.0</v>
      </c>
    </row>
    <row r="126">
      <c r="A126" s="3" t="s">
        <v>216</v>
      </c>
      <c r="B126" s="3">
        <v>387503.0</v>
      </c>
      <c r="C126" s="3">
        <v>386211.0</v>
      </c>
      <c r="D126" s="3">
        <v>91016.0</v>
      </c>
    </row>
    <row r="127">
      <c r="A127" s="3" t="s">
        <v>217</v>
      </c>
      <c r="B127" s="3">
        <v>739367.0</v>
      </c>
      <c r="C127" s="3">
        <v>737991.0</v>
      </c>
      <c r="D127" s="3">
        <v>173962.0</v>
      </c>
    </row>
    <row r="128">
      <c r="A128" s="3" t="s">
        <v>218</v>
      </c>
      <c r="B128" s="3">
        <v>128117.0</v>
      </c>
      <c r="C128" s="3">
        <v>127963.0</v>
      </c>
      <c r="D128" s="3">
        <v>29391.0</v>
      </c>
    </row>
    <row r="129">
      <c r="A129" s="3" t="s">
        <v>219</v>
      </c>
      <c r="B129" s="3">
        <v>534636.0</v>
      </c>
      <c r="C129" s="3">
        <v>531753.0</v>
      </c>
      <c r="D129" s="3">
        <v>127445.0</v>
      </c>
    </row>
    <row r="130">
      <c r="A130" s="3" t="s">
        <v>220</v>
      </c>
      <c r="B130" s="3">
        <v>642255.0</v>
      </c>
      <c r="C130" s="3">
        <v>640512.0</v>
      </c>
      <c r="D130" s="3">
        <v>150551.0</v>
      </c>
    </row>
    <row r="131">
      <c r="A131" s="3" t="s">
        <v>221</v>
      </c>
      <c r="B131" s="3">
        <v>372910.0</v>
      </c>
      <c r="C131" s="3">
        <v>370910.0</v>
      </c>
      <c r="D131" s="3">
        <v>89408.0</v>
      </c>
    </row>
    <row r="132">
      <c r="A132" s="3" t="s">
        <v>222</v>
      </c>
      <c r="B132" s="3">
        <v>4944800.0</v>
      </c>
      <c r="C132" s="3">
        <v>4938539.0</v>
      </c>
      <c r="D132" s="3">
        <v>832908.0</v>
      </c>
    </row>
    <row r="133">
      <c r="A133" s="3" t="s">
        <v>223</v>
      </c>
      <c r="B133" s="3">
        <v>426207.0</v>
      </c>
      <c r="C133" s="3">
        <v>425111.0</v>
      </c>
      <c r="D133" s="3">
        <v>73419.0</v>
      </c>
    </row>
    <row r="134">
      <c r="A134" s="3" t="s">
        <v>224</v>
      </c>
      <c r="B134" s="3">
        <v>1195518.0</v>
      </c>
      <c r="C134" s="3">
        <v>1194507.0</v>
      </c>
      <c r="D134" s="3">
        <v>183629.0</v>
      </c>
    </row>
    <row r="135">
      <c r="A135" s="3" t="s">
        <v>225</v>
      </c>
      <c r="B135" s="3">
        <v>1667258.0</v>
      </c>
      <c r="C135" s="3">
        <v>1666353.0</v>
      </c>
      <c r="D135" s="3">
        <v>287284.0</v>
      </c>
    </row>
    <row r="136">
      <c r="A136" s="3" t="s">
        <v>226</v>
      </c>
      <c r="B136" s="3">
        <v>1000108.0</v>
      </c>
      <c r="C136" s="3">
        <v>998675.0</v>
      </c>
      <c r="D136" s="3">
        <v>166140.0</v>
      </c>
    </row>
    <row r="137">
      <c r="A137" s="3" t="s">
        <v>227</v>
      </c>
      <c r="B137" s="3">
        <v>440276.0</v>
      </c>
      <c r="C137" s="3">
        <v>438545.0</v>
      </c>
      <c r="D137" s="3">
        <v>74768.0</v>
      </c>
    </row>
    <row r="138">
      <c r="A138" s="3" t="s">
        <v>228</v>
      </c>
      <c r="B138" s="3">
        <v>215433.0</v>
      </c>
      <c r="C138" s="3">
        <v>215348.0</v>
      </c>
      <c r="D138" s="3">
        <v>47668.0</v>
      </c>
    </row>
    <row r="139">
      <c r="A139" s="3" t="s">
        <v>230</v>
      </c>
      <c r="B139" s="3"/>
      <c r="C139" s="3"/>
      <c r="D139" s="3"/>
    </row>
    <row r="140">
      <c r="A140" s="3" t="s">
        <v>77</v>
      </c>
      <c r="B140" s="3"/>
      <c r="C140" s="3"/>
      <c r="D140" s="3"/>
    </row>
    <row r="141">
      <c r="A141" s="3" t="s">
        <v>231</v>
      </c>
      <c r="B141" s="3"/>
      <c r="C141" s="3"/>
      <c r="D141" s="3"/>
    </row>
    <row r="142">
      <c r="A142" s="3" t="s">
        <v>79</v>
      </c>
      <c r="B142" s="3"/>
      <c r="C142" s="3"/>
      <c r="D142" s="3"/>
    </row>
    <row r="143">
      <c r="A143" s="3" t="s">
        <v>232</v>
      </c>
      <c r="B143" s="3"/>
      <c r="C143" s="3"/>
      <c r="D143" s="3"/>
    </row>
    <row r="144">
      <c r="A144" s="3" t="s">
        <v>81</v>
      </c>
      <c r="B144" s="3"/>
      <c r="C144" s="3"/>
      <c r="D144" s="3"/>
    </row>
    <row r="145">
      <c r="A145" s="3" t="s">
        <v>81</v>
      </c>
      <c r="B145" s="3"/>
      <c r="C145" s="3"/>
      <c r="D145" s="3"/>
    </row>
    <row r="146">
      <c r="A146" s="3" t="s">
        <v>233</v>
      </c>
      <c r="B146" s="3"/>
      <c r="C146" s="3"/>
      <c r="D146" s="3"/>
    </row>
    <row r="147">
      <c r="A147" s="3" t="s">
        <v>234</v>
      </c>
      <c r="B147" s="3"/>
      <c r="C147" s="3"/>
      <c r="D147" s="3"/>
    </row>
    <row r="148">
      <c r="A148" s="3" t="s">
        <v>80</v>
      </c>
      <c r="B148" s="3"/>
      <c r="C148" s="3"/>
      <c r="D148" s="3"/>
    </row>
    <row r="149">
      <c r="A149" s="3" t="s">
        <v>235</v>
      </c>
      <c r="B149" s="3"/>
      <c r="C149" s="3"/>
      <c r="D149" s="3"/>
    </row>
    <row r="150">
      <c r="A150" s="3" t="s">
        <v>236</v>
      </c>
      <c r="B150" s="3"/>
      <c r="C150" s="3"/>
      <c r="D150" s="3"/>
    </row>
    <row r="151">
      <c r="A151" s="3" t="s">
        <v>87</v>
      </c>
      <c r="B151" s="3"/>
      <c r="C151" s="3"/>
      <c r="D151" s="3"/>
    </row>
    <row r="152">
      <c r="A152" s="3" t="s">
        <v>248</v>
      </c>
      <c r="B152" s="3"/>
      <c r="C152" s="3"/>
      <c r="D152" s="3"/>
    </row>
    <row r="153">
      <c r="A153" s="3" t="s">
        <v>238</v>
      </c>
      <c r="B153" s="3"/>
      <c r="C153" s="3"/>
      <c r="D153" s="3"/>
    </row>
    <row r="154">
      <c r="A154" s="3" t="s">
        <v>89</v>
      </c>
      <c r="B154" s="3"/>
      <c r="C154" s="3"/>
      <c r="D154" s="3"/>
    </row>
    <row r="155">
      <c r="A155" s="3" t="s">
        <v>249</v>
      </c>
      <c r="B155" s="3"/>
      <c r="C155" s="3"/>
      <c r="D155" s="3"/>
    </row>
  </sheetData>
  <drawing r:id="rId1"/>
</worksheet>
</file>